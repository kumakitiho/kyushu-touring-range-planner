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2c65ce648443a3" /></Relationships>
</file>

<file path=xl/workbook.xml><?xml version="1.0" encoding="utf-8"?>
<x:workbook xmlns:x="http://schemas.openxmlformats.org/spreadsheetml/2006/main">
  <x:sheets>
    <x:sheet xmlns:r="http://schemas.openxmlformats.org/officeDocument/2006/relationships" name="Dashboard" sheetId="1" r:id="R817a2faf24dc418e"/>
    <x:sheet xmlns:r="http://schemas.openxmlformats.org/officeDocument/2006/relationships" name="User Stories" sheetId="2" r:id="Ra177b7c4d7484060"/>
    <x:sheet xmlns:r="http://schemas.openxmlformats.org/officeDocument/2006/relationships" name="Test Runs" sheetId="3" r:id="R22ebf752f07c4bf8"/>
    <x:sheet xmlns:r="http://schemas.openxmlformats.org/officeDocument/2006/relationships" name="Defects" sheetId="4" r:id="R063ccf24029a48ba"/>
    <x:sheet xmlns:r="http://schemas.openxmlformats.org/officeDocument/2006/relationships" name="Guide" sheetId="5" r:id="Rde76f599a9ca490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7">
    <x:font>
      <x:sz val="11"/>
      <x:name val="Carlito"/>
    </x:font>
    <x:font>
      <x:b/>
      <x:sz val="18"/>
      <x:color rgb="FFFFFFFF"/>
      <x:name val="Carlito"/>
    </x:font>
    <x:font>
      <x:b/>
      <x:sz val="11"/>
      <x:color rgb="FFFFFFFF"/>
      <x:name val="Carlito"/>
    </x:font>
    <x:font>
      <x:b/>
      <x:sz val="11"/>
      <x:color rgb="FF17324D"/>
      <x:name val="Carlito"/>
    </x:font>
    <x:font>
      <x:sz val="11"/>
      <x:color rgb="FF7F1D1D"/>
      <x:name val="Carlito"/>
    </x:font>
    <x:font>
      <x:b/>
      <x:sz val="17"/>
      <x:color rgb="FFFFFFFF"/>
      <x:name val="Carlito"/>
    </x:font>
    <x:font>
      <x:i/>
      <x:sz val="11"/>
      <x:color rgb="FF17324D"/>
      <x:name val="Carlito"/>
    </x:font>
  </x:fonts>
  <x:fills count="9">
    <x:fill>
      <x:patternFill patternType="none"/>
    </x:fill>
    <x:fill>
      <x:patternFill patternType="gray125"/>
    </x:fill>
    <x:fill>
      <x:patternFill patternType="solid">
        <x:fgColor rgb="FF17324D"/>
      </x:patternFill>
    </x:fill>
    <x:fill>
      <x:patternFill patternType="solid">
        <x:fgColor rgb="FF2563EB"/>
      </x:patternFill>
    </x:fill>
    <x:fill>
      <x:patternFill patternType="solid">
        <x:fgColor rgb="FFFFFFFF"/>
      </x:patternFill>
    </x:fill>
    <x:fill>
      <x:patternFill patternType="solid">
        <x:fgColor rgb="FFB91C1C"/>
      </x:patternFill>
    </x:fill>
    <x:fill>
      <x:patternFill patternType="solid">
        <x:fgColor rgb="FFFFF7F7"/>
      </x:patternFill>
    </x:fill>
    <x:fill>
      <x:patternFill patternType="solid">
        <x:fgColor rgb="FFEAF2FF"/>
      </x:patternFill>
    </x:fill>
    <x:fill>
      <x:patternFill patternType="solid">
        <x:fgColor rgb="FF7F1D1D"/>
      </x:patternFill>
    </x:fill>
  </x:fills>
  <x:borders count="7">
    <x:border/>
    <x:border>
      <x:right style="thin">
        <x:color rgb="FFD7DEE8"/>
      </x:right>
      <x:bottom style="thin">
        <x:color rgb="FFD7DEE8"/>
      </x:bottom>
    </x:border>
    <x:border>
      <x:left style="thin">
        <x:color rgb="FFD7DEE8"/>
      </x:left>
      <x:bottom style="thin">
        <x:color rgb="FFD7DEE8"/>
      </x:bottom>
    </x:border>
    <x:border>
      <x:right style="thin">
        <x:color rgb="FFD7DEE8"/>
      </x:right>
      <x:top style="thin">
        <x:color rgb="FFD7DEE8"/>
      </x:top>
      <x:bottom style="thin">
        <x:color rgb="FFD7DEE8"/>
      </x:bottom>
    </x:border>
    <x:border>
      <x:left style="thin">
        <x:color rgb="FFD7DEE8"/>
      </x:left>
      <x:top style="thin">
        <x:color rgb="FFD7DEE8"/>
      </x:top>
      <x:bottom style="thin">
        <x:color rgb="FFD7DEE8"/>
      </x:bottom>
    </x:border>
    <x:border>
      <x:right style="thin">
        <x:color rgb="FFD7DEE8"/>
      </x:right>
      <x:top style="thin">
        <x:color rgb="FFD7DEE8"/>
      </x:top>
    </x:border>
    <x:border>
      <x:left style="thin">
        <x:color rgb="FFD7DEE8"/>
      </x:left>
      <x:top style="thin">
        <x:color rgb="FFD7DEE8"/>
      </x:top>
    </x:border>
  </x:borders>
  <x:cellStyleXfs count="1">
    <x:xf numFmtId="0" fontId="0" fillId="0" borderId="0"/>
  </x:cellStyleXfs>
  <x:cellXfs count="4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0" fillId="4" borderId="2" xfId="0" applyNumberFormat="1" applyFont="1" applyFill="1" applyBorder="1"/>
    <x:xf numFmtId="0" fontId="0" fillId="4" borderId="3" xfId="0" applyNumberFormat="1" applyFont="1" applyFill="1" applyBorder="1"/>
    <x:xf numFmtId="0" fontId="0" fillId="4" borderId="4" xfId="0" applyNumberFormat="1" applyFont="1" applyFill="1" applyBorder="1"/>
    <x:xf numFmtId="0" fontId="0" fillId="4" borderId="5" xfId="0" applyNumberFormat="1" applyFont="1" applyFill="1" applyBorder="1"/>
    <x:xf numFmtId="0" fontId="0" fillId="4" borderId="6" xfId="0" applyNumberFormat="1" applyFont="1" applyFill="1" applyBorder="1"/>
    <x:xf numFmtId="0" fontId="3" fillId="4" borderId="2" xfId="0" applyNumberFormat="1" applyFont="1" applyFill="1" applyBorder="1"/>
    <x:xf numFmtId="0" fontId="3" fillId="4" borderId="4" xfId="0" applyNumberFormat="1" applyFont="1" applyFill="1" applyBorder="1"/>
    <x:xf numFmtId="0" fontId="3" fillId="4" borderId="6" xfId="0" applyNumberFormat="1" applyFont="1" applyFill="1" applyBorder="1"/>
    <x:xf numFmtId="200" fontId="3" fillId="4" borderId="2" xfId="0" applyNumberFormat="1" applyFont="1" applyFill="1" applyBorder="1"/>
    <x:xf numFmtId="200" fontId="3" fillId="4" borderId="4" xfId="0" applyNumberFormat="1" applyFont="1" applyFill="1" applyBorder="1"/>
    <x:xf numFmtId="200" fontId="3" fillId="4" borderId="6" xfId="0" applyNumberFormat="1" applyFont="1" applyFill="1" applyBorder="1"/>
    <x:xf numFmtId="200" fontId="3" fillId="4" borderId="2" xfId="0" applyNumberFormat="1" applyFont="1" applyFill="1" applyBorder="1" applyAlignment="1">
      <x:alignment horizontal="right"/>
    </x:xf>
    <x:xf numFmtId="200" fontId="3" fillId="4" borderId="4" xfId="0" applyNumberFormat="1" applyFont="1" applyFill="1" applyBorder="1" applyAlignment="1">
      <x:alignment horizontal="right"/>
    </x:xf>
    <x:xf numFmtId="200" fontId="3" fillId="4" borderId="6" xfId="0" applyNumberFormat="1" applyFont="1" applyFill="1" applyBorder="1" applyAlignment="1">
      <x:alignment horizontal="right"/>
    </x:xf>
    <x:xf numFmtId="0" fontId="0" fillId="5" borderId="0" xfId="0" applyNumberFormat="1" applyFont="1" applyFill="1" applyBorder="1"/>
    <x:xf numFmtId="0" fontId="2" fillId="5" borderId="0"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5" fillId="2" borderId="0" xfId="0" applyNumberFormat="1" applyFont="1" applyFill="1" applyBorder="1"/>
    <x:xf numFmtId="0" fontId="5" fillId="2" borderId="0" xfId="0" applyNumberFormat="1" applyFont="1" applyFill="1" applyBorder="1" applyAlignment="1">
      <x:alignment vertical="center"/>
    </x:xf>
    <x:xf numFmtId="0" fontId="6" fillId="7" borderId="0"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1" fontId="0" fillId="0" borderId="0" xfId="0" applyNumberFormat="1" applyFont="1" applyFill="1" applyBorder="1"/>
    <x:xf numFmtId="201" fontId="0" fillId="0" borderId="0" xfId="0" applyNumberFormat="1" applyFont="1" applyFill="1" applyBorder="1" applyAlignment="1">
      <x:alignment wrapText="1"/>
    </x:xf>
    <x:xf numFmtId="0" fontId="0" fillId="8" borderId="0" xfId="0" applyNumberFormat="1" applyFont="1" applyFill="1" applyBorder="1"/>
    <x:xf numFmtId="0" fontId="5" fillId="8" borderId="0" xfId="0" applyNumberFormat="1" applyFont="1" applyFill="1" applyBorder="1"/>
    <x:xf numFmtId="0" fontId="2" fillId="5" borderId="0" xfId="0" applyNumberFormat="1" applyFont="1" applyFill="1" applyBorder="1" applyAlignment="1">
      <x:alignment wrapText="1"/>
    </x:xf>
  </x:cellXfs>
  <x:cellStyles count="1">
    <x:cellStyle name="Normal" xfId="0"/>
  </x:cellStyles>
  <x:dxfs count="5">
    <x:dxf>
      <x:font>
        <x:b/>
        <x:color rgb="FF991B1B"/>
      </x:font>
      <x:fill>
        <x:patternFill patternType="solid">
          <x:bgColor rgb="FFFEE2E2"/>
        </x:patternFill>
      </x:fill>
    </x:dxf>
    <x:dxf>
      <x:font>
        <x:color rgb="FF166534"/>
      </x:font>
      <x:fill>
        <x:patternFill patternType="solid">
          <x:bgColor rgb="FFDCFCE7"/>
        </x:patternFill>
      </x:fill>
    </x:dxf>
    <x:dxf>
      <x:font>
        <x:color rgb="FF92400E"/>
      </x:font>
      <x:fill>
        <x:patternFill patternType="solid">
          <x:bgColor rgb="FFFEF3C7"/>
        </x:patternFill>
      </x:fill>
    </x:dxf>
    <x:dxf>
      <x:font>
        <x:b/>
        <x:color rgb="FF991B1B"/>
      </x:font>
      <x:fill>
        <x:patternFill patternType="solid">
          <x:bgColor rgb="FFFEE2E2"/>
        </x:patternFill>
      </x:fill>
    </x:dxf>
    <x:dxf>
      <x:font>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f7b31a21d4441cb" /><Relationship Type="http://schemas.openxmlformats.org/officeDocument/2006/relationships/theme" Target="/xl/theme/theme1.xml" Id="R038bd44390b5442d" /><Relationship Type="http://schemas.openxmlformats.org/officeDocument/2006/relationships/sharedStrings" Target="/xl/sharedStrings.xml" Id="R9cf5958a160f4fda" /><Relationship Type="http://schemas.openxmlformats.org/officeDocument/2006/relationships/worksheet" Target="/xl/worksheets/sheet1.xml" Id="R817a2faf24dc418e" /><Relationship Type="http://schemas.openxmlformats.org/officeDocument/2006/relationships/worksheet" Target="/xl/worksheets/sheet2.xml" Id="Ra177b7c4d7484060" /><Relationship Type="http://schemas.openxmlformats.org/officeDocument/2006/relationships/worksheet" Target="/xl/worksheets/sheet3.xml" Id="R22ebf752f07c4bf8" /><Relationship Type="http://schemas.openxmlformats.org/officeDocument/2006/relationships/worksheet" Target="/xl/worksheets/sheet4.xml" Id="R063ccf24029a48ba" /><Relationship Type="http://schemas.openxmlformats.org/officeDocument/2006/relationships/worksheet" Target="/xl/worksheets/sheet5.xml" Id="Rde76f599a9ca4903" /></Relationships>
</file>

<file path=xl/tables/table1.xml><?xml version="1.0" encoding="utf-8"?>
<x:table xmlns:x="http://schemas.openxmlformats.org/spreadsheetml/2006/main" id="1" name="UserStoriesTable" displayName="UserStoriesTable" ref="A4:O60" headerRowCount="1">
  <x:tableColumns count="15">
    <x:tableColumn id="1" name="Story ID"/>
    <x:tableColumn id="2" name="領域"/>
    <x:tableColumn id="3" name="ペルソナ"/>
    <x:tableColumn id="4" name="ユーザーストーリー"/>
    <x:tableColumn id="5" name="前提条件"/>
    <x:tableColumn id="6" name="操作"/>
    <x:tableColumn id="7" name="期待結果"/>
    <x:tableColumn id="8" name="コード根拠"/>
    <x:tableColumn id="9" name="既存テスト"/>
    <x:tableColumn id="10" name="初回状態"/>
    <x:tableColumn id="11" name="優先度"/>
    <x:tableColumn id="12" name="Defect ID"/>
    <x:tableColumn id="13" name="最終テスト日"/>
    <x:tableColumn id="14" name="再テスト状態"/>
    <x:tableColumn id="15" name="備考"/>
  </x:tableColumns>
  <x:tableStyleInfo name="TableStyleMedium2" showRowStripes="1"/>
</x:table>
</file>

<file path=xl/tables/table2.xml><?xml version="1.0" encoding="utf-8"?>
<x:table xmlns:x="http://schemas.openxmlformats.org/spreadsheetml/2006/main" id="2" name="TestRunsTable" displayName="TestRunsTable" ref="A4:J24" headerRowCount="1">
  <x:tableColumns count="10">
    <x:tableColumn id="1" name="Run ID"/>
    <x:tableColumn id="2" name="実行日"/>
    <x:tableColumn id="3" name="環境"/>
    <x:tableColumn id="4" name="Viewport/方式"/>
    <x:tableColumn id="5" name="Story ID"/>
    <x:tableColumn id="6" name="結果"/>
    <x:tableColumn id="7" name="証跡"/>
    <x:tableColumn id="8" name="エラー/所見"/>
    <x:tableColumn id="9" name="修正Commit"/>
    <x:tableColumn id="10" name="再テスト結果"/>
  </x:tableColumns>
  <x:tableStyleInfo name="TableStyleMedium2" showRowStripes="1"/>
</x:table>
</file>

<file path=xl/tables/table3.xml><?xml version="1.0" encoding="utf-8"?>
<x:table xmlns:x="http://schemas.openxmlformats.org/spreadsheetml/2006/main" id="3" name="DefectsTable" displayName="DefectsTable" ref="A4:K13" headerRowCount="1">
  <x:tableColumns count="11">
    <x:tableColumn id="1" name="Defect ID"/>
    <x:tableColumn id="2" name="Story ID"/>
    <x:tableColumn id="3" name="重要度"/>
    <x:tableColumn id="4" name="種別"/>
    <x:tableColumn id="5" name="概要"/>
    <x:tableColumn id="6" name="再現手順"/>
    <x:tableColumn id="7" name="期待結果"/>
    <x:tableColumn id="8" name="実際結果"/>
    <x:tableColumn id="9" name="状態"/>
    <x:tableColumn id="10" name="修正Commit"/>
    <x:tableColumn id="11" name="再テストRu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595d109b0b1442e" /></Relationships>
</file>

<file path=xl/worksheets/_rels/sheet3.xml.rels>&#65279;<?xml version="1.0" encoding="utf-8"?><Relationships xmlns="http://schemas.openxmlformats.org/package/2006/relationships"><Relationship Type="http://schemas.openxmlformats.org/officeDocument/2006/relationships/table" Target="/xl/tables/table2.xml" Id="Ra3d1dcd4b2024639" /></Relationships>
</file>

<file path=xl/worksheets/_rels/sheet4.xml.rels>&#65279;<?xml version="1.0" encoding="utf-8"?><Relationships xmlns="http://schemas.openxmlformats.org/package/2006/relationships"><Relationship Type="http://schemas.openxmlformats.org/officeDocument/2006/relationships/table" Target="/xl/tables/table3.xml" Id="R1459a19cecc04fe1"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s>
  <x:sheetData>
    <x:row r="1" ht="24" customHeight="1">
      <x:c r="A1" s="4" t="str">
        <x:v>九州ツーリングプランナー 機能品質台帳</x:v>
      </x:c>
      <x:c r="B1" s="4"/>
      <x:c r="C1" s="4"/>
      <x:c r="D1" s="4"/>
      <x:c r="E1" s="4"/>
      <x:c r="F1" s="4"/>
      <x:c r="G1" s="4"/>
      <x:c r="H1" s="4"/>
    </x:row>
    <x:row r="2" ht="24" customHeight="1">
      <x:c r="A2" s="4"/>
      <x:c r="B2" s="4"/>
      <x:c r="C2" s="4"/>
      <x:c r="D2" s="4"/>
      <x:c r="E2" s="4"/>
      <x:c r="F2" s="4"/>
      <x:c r="G2" s="4"/>
      <x:c r="H2" s="4"/>
    </x:row>
    <x:row r="3" ht="24" customHeight="1"/>
    <x:row r="4" ht="24" customHeight="1">
      <x:c r="A4" s="6" t="str">
        <x:v>指標</x:v>
      </x:c>
      <x:c r="B4" s="6" t="str">
        <x:v>件数</x:v>
      </x:c>
      <x:c r="D4" s="24" t="str">
        <x:v>現在の重点課題</x:v>
      </x:c>
      <x:c r="E4" s="24"/>
      <x:c r="F4" s="24"/>
      <x:c r="G4" s="24"/>
      <x:c r="H4" s="24"/>
    </x:row>
    <x:row r="5" ht="24" customHeight="1">
      <x:c r="A5" s="8" t="str">
        <x:v>全ユーザーストーリー</x:v>
      </x:c>
      <x:c r="B5" s="20" t="n">
        <x:f>COUNTA('User Stories'!$A$5:$A$100)</x:f>
        <x:v>56</x:v>
      </x:c>
      <x:c r="D5" s="28" t="str">
        <x:v>1. 公開版は登録データ提案に固定し、不要なChatGPTログインUIを隠す</x:v>
      </x:c>
      <x:c r="E5" s="28"/>
      <x:c r="F5" s="28"/>
      <x:c r="G5" s="28"/>
      <x:c r="H5" s="28"/>
    </x:row>
    <x:row r="6" ht="24" customHeight="1">
      <x:c r="A6" s="10" t="str">
        <x:v>自動テスト合格</x:v>
      </x:c>
      <x:c r="B6" s="21" t="n">
        <x:f>COUNTIF('User Stories'!$J$5:$J$100,"自動テスト合格")</x:f>
        <x:v>18</x:v>
      </x:c>
      <x:c r="D6" s="28" t="str">
        <x:v>2. Pages版もValhalla道路形状を使うが、座標送信と公開API依存は残リスク</x:v>
      </x:c>
      <x:c r="E6" s="28"/>
      <x:c r="F6" s="28"/>
      <x:c r="G6" s="28"/>
      <x:c r="H6" s="28"/>
    </x:row>
    <x:row r="7" ht="24" customHeight="1">
      <x:c r="A7" s="10" t="str">
        <x:v>部分検証</x:v>
      </x:c>
      <x:c r="B7" s="21" t="n">
        <x:f>COUNTIF('User Stories'!$J$5:$J$100,"部分検証")</x:f>
        <x:v>13</x:v>
      </x:c>
      <x:c r="D7" s="28" t="str">
        <x:v>3. ボトムシート full から mid へ戻る操作、drag/click競合、地図fitを再テスト済み</x:v>
      </x:c>
      <x:c r="E7" s="28"/>
      <x:c r="F7" s="28"/>
      <x:c r="G7" s="28"/>
      <x:c r="H7" s="28"/>
    </x:row>
    <x:row r="8" ht="24" customHeight="1">
      <x:c r="A8" s="10" t="str">
        <x:v>未実施</x:v>
      </x:c>
      <x:c r="B8" s="21" t="n">
        <x:f>COUNTIF('User Stories'!$J$5:$J$100,"未実施")</x:f>
        <x:v>20</x:v>
      </x:c>
      <x:c r="D8" s="28" t="str">
        <x:v>4. サブエージェント再レビューは使用制限で未完了。代替セルフレビューをRUN-0020に記録</x:v>
      </x:c>
      <x:c r="E8" s="28"/>
      <x:c r="F8" s="28"/>
      <x:c r="G8" s="28"/>
      <x:c r="H8" s="28"/>
    </x:row>
    <x:row r="9" ht="24" customHeight="1">
      <x:c r="A9" s="10" t="str">
        <x:v>失敗</x:v>
      </x:c>
      <x:c r="B9" s="21" t="n">
        <x:f>COUNTIF('User Stories'!$J$5:$J$100,"失敗")</x:f>
        <x:v>5</x:v>
      </x:c>
      <x:c r="D9" s="28" t="str">
        <x:v>次工程: ユーザー承認後にmainへpushし、公開Pagesで実機スマホ確認</x:v>
      </x:c>
      <x:c r="E9" s="28"/>
      <x:c r="F9" s="28"/>
      <x:c r="G9" s="28"/>
      <x:c r="H9" s="28"/>
    </x:row>
    <x:row r="10" ht="24" customHeight="1">
      <x:c r="A10" s="12" t="str">
        <x:v>未修正欠陥</x:v>
      </x:c>
      <x:c r="B10" s="22" t="n">
        <x:f>COUNTIF('Defects'!$I$5:$I$100,"未修正")</x:f>
        <x:v>0</x:v>
      </x:c>
    </x:row>
    <x:row r="11" ht="24" customHeight="1"/>
    <x:row r="12" ht="24" customHeight="1">
      <x:c r="A12" s="31" t="str">
        <x:v>このブックを唯一の正準台帳とし、テスト・欠陥・修正・再テストを必ずStory IDで関連付ける</x:v>
      </x:c>
      <x:c r="B12" s="31"/>
      <x:c r="C12" s="31"/>
      <x:c r="D12" s="31"/>
      <x:c r="E12" s="31"/>
      <x:c r="F12" s="31"/>
      <x:c r="G12" s="31"/>
      <x:c r="H12" s="31"/>
    </x:row>
  </x:sheetData>
  <x:mergeCells>
    <x:mergeCell ref="A1:H2"/>
    <x:mergeCell ref="D4:H4"/>
    <x:mergeCell ref="D5:H5"/>
    <x:mergeCell ref="D6:H6"/>
    <x:mergeCell ref="D7:H7"/>
    <x:mergeCell ref="D8:H8"/>
    <x:mergeCell ref="D9:H9"/>
    <x:mergeCell ref="A12:H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13" hidden="0" customWidth="1"/>
    <x:col min="4" max="4" width="34" hidden="0" customWidth="1"/>
    <x:col min="5" max="5" width="22" hidden="0" customWidth="1"/>
    <x:col min="6" max="6" width="28" hidden="0" customWidth="1"/>
    <x:col min="7" max="7" width="42" hidden="0" customWidth="1"/>
    <x:col min="8" max="8" width="32" hidden="0" customWidth="1"/>
    <x:col min="9" max="9" width="28" hidden="0" customWidth="1"/>
    <x:col min="10" max="10" width="16" hidden="0" customWidth="1"/>
    <x:col min="11" max="11" width="10" hidden="0" customWidth="1"/>
    <x:col min="12" max="12" width="14" hidden="0" customWidth="1"/>
    <x:col min="13" max="13" width="14" hidden="0" customWidth="1"/>
    <x:col min="14" max="14" width="16" hidden="0" customWidth="1"/>
    <x:col min="15" max="15" width="34" hidden="0" customWidth="1"/>
  </x:cols>
  <x:sheetData>
    <x:row r="1">
      <x:c r="A1" s="33" t="str">
        <x:v>User Stories - 正準機能一覧</x:v>
      </x:c>
      <x:c r="B1" s="33"/>
      <x:c r="C1" s="33"/>
      <x:c r="D1" s="33"/>
      <x:c r="E1" s="33"/>
      <x:c r="F1" s="33"/>
      <x:c r="G1" s="33"/>
      <x:c r="H1" s="33"/>
      <x:c r="I1" s="33"/>
      <x:c r="J1" s="33"/>
      <x:c r="K1" s="33"/>
      <x:c r="L1" s="33"/>
      <x:c r="M1" s="33"/>
      <x:c r="N1" s="33"/>
      <x:c r="O1" s="33"/>
    </x:row>
    <x:row r="2">
      <x:c r="A2" s="33"/>
      <x:c r="B2" s="33"/>
      <x:c r="C2" s="33"/>
      <x:c r="D2" s="33"/>
      <x:c r="E2" s="33"/>
      <x:c r="F2" s="33"/>
      <x:c r="G2" s="33"/>
      <x:c r="H2" s="33"/>
      <x:c r="I2" s="33"/>
      <x:c r="J2" s="33"/>
      <x:c r="K2" s="33"/>
      <x:c r="L2" s="33"/>
      <x:c r="M2" s="33"/>
      <x:c r="N2" s="33"/>
      <x:c r="O2" s="33"/>
    </x:row>
    <x:row r="3">
      <x:c r="A3" s="34" t="str">
        <x:v>Initial Status と Retest Status を更新し、Defect ID / Test Runs と必ず相互参照する</x:v>
      </x:c>
      <x:c r="B3" s="34"/>
      <x:c r="C3" s="34"/>
      <x:c r="D3" s="34"/>
      <x:c r="E3" s="34"/>
      <x:c r="F3" s="34"/>
      <x:c r="G3" s="34"/>
      <x:c r="H3" s="34"/>
      <x:c r="I3" s="34"/>
      <x:c r="J3" s="34"/>
      <x:c r="K3" s="34"/>
      <x:c r="L3" s="34"/>
      <x:c r="M3" s="34"/>
      <x:c r="N3" s="34"/>
      <x:c r="O3" s="34"/>
    </x:row>
    <x:row r="4">
      <x:c r="A4" s="35" t="str">
        <x:v>Story ID</x:v>
      </x:c>
      <x:c r="B4" s="35" t="str">
        <x:v>領域</x:v>
      </x:c>
      <x:c r="C4" s="35" t="str">
        <x:v>ペルソナ</x:v>
      </x:c>
      <x:c r="D4" s="35" t="str">
        <x:v>ユーザーストーリー</x:v>
      </x:c>
      <x:c r="E4" s="35" t="str">
        <x:v>前提条件</x:v>
      </x:c>
      <x:c r="F4" s="35" t="str">
        <x:v>操作</x:v>
      </x:c>
      <x:c r="G4" s="35" t="str">
        <x:v>期待結果</x:v>
      </x:c>
      <x:c r="H4" s="35" t="str">
        <x:v>コード根拠</x:v>
      </x:c>
      <x:c r="I4" s="35" t="str">
        <x:v>既存テスト</x:v>
      </x:c>
      <x:c r="J4" s="35" t="str">
        <x:v>初回状態</x:v>
      </x:c>
      <x:c r="K4" s="35" t="str">
        <x:v>優先度</x:v>
      </x:c>
      <x:c r="L4" s="35" t="str">
        <x:v>Defect ID</x:v>
      </x:c>
      <x:c r="M4" s="35" t="str">
        <x:v>最終テスト日</x:v>
      </x:c>
      <x:c r="N4" s="35" t="str">
        <x:v>再テスト状態</x:v>
      </x:c>
      <x:c r="O4" s="35" t="str">
        <x:v>備考</x:v>
      </x:c>
    </x:row>
    <x:row r="5" ht="48" customHeight="1">
      <x:c r="A5" s="37" t="str">
        <x:v>US-001</x:v>
      </x:c>
      <x:c r="B5" s="37" t="str">
        <x:v>初期表示</x:v>
      </x:c>
      <x:c r="C5" s="37" t="str">
        <x:v>利用者</x:v>
      </x:c>
      <x:c r="D5" s="37" t="str">
        <x:v>初期条件と推定到達範囲を地図で確認したい</x:v>
      </x:c>
      <x:c r="E5" s="37" t="str">
        <x:v>アプリを開く</x:v>
      </x:c>
      <x:c r="F5" s="37" t="str">
        <x:v>初期画面を表示する</x:v>
      </x:c>
      <x:c r="G5" s="37" t="str">
        <x:v>福岡・天神、往復240分、下道、日帰りが表示され、推定到達圏が地図に出る</x:v>
      </x:c>
      <x:c r="H5" s="37" t="str">
        <x:v>src/App.tsx:40,77,172</x:v>
      </x:c>
      <x:c r="I5" s="37" t="str">
        <x:v>なし</x:v>
      </x:c>
      <x:c r="J5" s="37" t="str">
        <x:v>未実施</x:v>
      </x:c>
      <x:c r="K5" s="37" t="str">
        <x:v>高</x:v>
      </x:c>
      <x:c r="L5" s="37" t="str"/>
      <x:c r="M5" s="37" t="str"/>
      <x:c r="N5" s="37" t="str"/>
      <x:c r="O5" s="37" t="str"/>
    </x:row>
    <x:row r="6" ht="48" customHeight="1">
      <x:c r="A6" s="37" t="str">
        <x:v>US-002</x:v>
      </x:c>
      <x:c r="B6" s="37" t="str">
        <x:v>出発地点</x:v>
      </x:c>
      <x:c r="C6" s="37" t="str">
        <x:v>利用者</x:v>
      </x:c>
      <x:c r="D6" s="37" t="str">
        <x:v>地図をタップして出発地点を指定したい</x:v>
      </x:c>
      <x:c r="E6" s="37" t="str">
        <x:v>条件画面</x:v>
      </x:c>
      <x:c r="F6" s="37" t="str">
        <x:v>地図ボタン→地図をタップ</x:v>
      </x:c>
      <x:c r="G6" s="37" t="str">
        <x:v>シートが縮み、タップ地点へ出発マーカーとラベルが更新される</x:v>
      </x:c>
      <x:c r="H6" s="37" t="str">
        <x:v>src/App.tsx map click</x:v>
      </x:c>
      <x:c r="I6" s="37" t="str">
        <x:v>RUN-0015</x:v>
      </x:c>
      <x:c r="J6" s="37" t="str">
        <x:v>未実施</x:v>
      </x:c>
      <x:c r="K6" s="37" t="str">
        <x:v>高</x:v>
      </x:c>
      <x:c r="L6" s="37" t="str"/>
      <x:c r="M6" s="37" t="n">
        <x:v>46198</x:v>
      </x:c>
      <x:c r="N6" s="37" t="str">
        <x:v>合格</x:v>
      </x:c>
      <x:c r="O6" s="37" t="str">
        <x:v>390px実ブラウザでラベル・マーカー更新確認</x:v>
      </x:c>
    </x:row>
    <x:row r="7" ht="48" customHeight="1">
      <x:c r="A7" s="37" t="str">
        <x:v>US-003</x:v>
      </x:c>
      <x:c r="B7" s="37" t="str">
        <x:v>出発地点</x:v>
      </x:c>
      <x:c r="C7" s="37" t="str">
        <x:v>利用者</x:v>
      </x:c>
      <x:c r="D7" s="37" t="str">
        <x:v>GPS現在地を出発地点にしたい</x:v>
      </x:c>
      <x:c r="E7" s="37" t="str">
        <x:v>位置情報許可可能</x:v>
      </x:c>
      <x:c r="F7" s="37" t="str">
        <x:v>現在地をタップし許可</x:v>
      </x:c>
      <x:c r="G7" s="37" t="str">
        <x:v>現在地へ更新され、地図がズームする。低精度時は現在地付近と表示</x:v>
      </x:c>
      <x:c r="H7" s="37" t="str">
        <x:v>src/App.tsx:396-424</x:v>
      </x:c>
      <x:c r="I7" s="37" t="str">
        <x:v>なし</x:v>
      </x:c>
      <x:c r="J7" s="37" t="str">
        <x:v>未実施</x:v>
      </x:c>
      <x:c r="K7" s="37" t="str">
        <x:v>高</x:v>
      </x:c>
      <x:c r="L7" s="37" t="str"/>
      <x:c r="M7" s="37" t="str"/>
      <x:c r="N7" s="37" t="str"/>
      <x:c r="O7" s="37" t="str"/>
    </x:row>
    <x:row r="8" ht="48" customHeight="1">
      <x:c r="A8" s="37" t="str">
        <x:v>US-004</x:v>
      </x:c>
      <x:c r="B8" s="37" t="str">
        <x:v>出発地点</x:v>
      </x:c>
      <x:c r="C8" s="37" t="str">
        <x:v>利用者</x:v>
      </x:c>
      <x:c r="D8" s="37" t="str">
        <x:v>GPS拒否・非対応・タイムアウト時に代替手段を知りたい</x:v>
      </x:c>
      <x:c r="E8" s="37" t="str">
        <x:v>GPS取得不可</x:v>
      </x:c>
      <x:c r="F8" s="37" t="str">
        <x:v>現在地をタップ</x:v>
      </x:c>
      <x:c r="G8" s="37" t="str">
        <x:v>取得失敗理由を示し、地図またはプリセット指定へ誘導する</x:v>
      </x:c>
      <x:c r="H8" s="37" t="str">
        <x:v>src/App.tsx:396-424</x:v>
      </x:c>
      <x:c r="I8" s="37" t="str">
        <x:v>なし</x:v>
      </x:c>
      <x:c r="J8" s="37" t="str">
        <x:v>未実施</x:v>
      </x:c>
      <x:c r="K8" s="37" t="str">
        <x:v>高</x:v>
      </x:c>
      <x:c r="L8" s="37" t="str"/>
      <x:c r="M8" s="37" t="str"/>
      <x:c r="N8" s="37" t="str"/>
      <x:c r="O8" s="37" t="str"/>
    </x:row>
    <x:row r="9" ht="48" customHeight="1">
      <x:c r="A9" s="37" t="str">
        <x:v>US-005</x:v>
      </x:c>
      <x:c r="B9" s="37" t="str">
        <x:v>出発地点</x:v>
      </x:c>
      <x:c r="C9" s="37" t="str">
        <x:v>利用者</x:v>
      </x:c>
      <x:c r="D9" s="37" t="str">
        <x:v>九州主要地点プリセットを出発地点にしたい</x:v>
      </x:c>
      <x:c r="E9" s="37" t="str">
        <x:v>こだわり条件を開く</x:v>
      </x:c>
      <x:c r="F9" s="37" t="str">
        <x:v>プリセットを選択</x:v>
      </x:c>
      <x:c r="G9" s="37" t="str">
        <x:v>福岡・熊本・大分・宮崎・鹿児島の選択地点へ更新される</x:v>
      </x:c>
      <x:c r="H9" s="37" t="str">
        <x:v>src/App.tsx InputPanel</x:v>
      </x:c>
      <x:c r="I9" s="37" t="str">
        <x:v>inputPanel.test.tsx</x:v>
      </x:c>
      <x:c r="J9" s="37" t="str">
        <x:v>未実施</x:v>
      </x:c>
      <x:c r="K9" s="37" t="str">
        <x:v>中</x:v>
      </x:c>
      <x:c r="L9" s="37" t="str"/>
      <x:c r="M9" s="37" t="n">
        <x:v>46198</x:v>
      </x:c>
      <x:c r="N9" s="37" t="str">
        <x:v>合格</x:v>
      </x:c>
      <x:c r="O9" s="37" t="str">
        <x:v>熊本プリセットのcallback値を検証</x:v>
      </x:c>
    </x:row>
    <x:row r="10" ht="48" customHeight="1">
      <x:c r="A10" s="37" t="str">
        <x:v>US-006</x:v>
      </x:c>
      <x:c r="B10" s="37" t="str">
        <x:v>走行条件</x:v>
      </x:c>
      <x:c r="C10" s="37" t="str">
        <x:v>利用者</x:v>
      </x:c>
      <x:c r="D10" s="37" t="str">
        <x:v>往復走行時間と往復距離を切り替えたい</x:v>
      </x:c>
      <x:c r="E10" s="37" t="str">
        <x:v>条件画面</x:v>
      </x:c>
      <x:c r="F10" s="37" t="str">
        <x:v>時計/バイクのトグルを選ぶ</x:v>
      </x:c>
      <x:c r="G10" s="37" t="str">
        <x:v>選択状態と単位、スライダー範囲が切り替わる</x:v>
      </x:c>
      <x:c r="H10" s="37" t="str">
        <x:v>src/App.tsx InputPanel</x:v>
      </x:c>
      <x:c r="I10" s="37" t="str">
        <x:v>inputPanel.test.tsx</x:v>
      </x:c>
      <x:c r="J10" s="37" t="str">
        <x:v>未実施</x:v>
      </x:c>
      <x:c r="K10" s="37" t="str">
        <x:v>高</x:v>
      </x:c>
      <x:c r="L10" s="37" t="str"/>
      <x:c r="M10" s="37" t="n">
        <x:v>46198</x:v>
      </x:c>
      <x:c r="N10" s="37" t="str">
        <x:v>合格</x:v>
      </x:c>
      <x:c r="O10" s="37" t="str">
        <x:v>aria-pressedと切替値を検証</x:v>
      </x:c>
    </x:row>
    <x:row r="11" ht="48" customHeight="1">
      <x:c r="A11" s="37" t="str">
        <x:v>US-007</x:v>
      </x:c>
      <x:c r="B11" s="37" t="str">
        <x:v>走行条件</x:v>
      </x:c>
      <x:c r="C11" s="37" t="str">
        <x:v>利用者</x:v>
      </x:c>
      <x:c r="D11" s="37" t="str">
        <x:v>時間または距離の上限値を調整したい</x:v>
      </x:c>
      <x:c r="E11" s="37" t="str">
        <x:v>条件種別を選択済み</x:v>
      </x:c>
      <x:c r="F11" s="37" t="str">
        <x:v>スライダーを動かす</x:v>
      </x:c>
      <x:c r="G11" s="37" t="str">
        <x:v>時間90～600分/距離60～420kmの値が表示・リクエストに反映される</x:v>
      </x:c>
      <x:c r="H11" s="37" t="str">
        <x:v>src/App.tsx InputPanel</x:v>
      </x:c>
      <x:c r="I11" s="37" t="str">
        <x:v>inputPanel.test.tsx; planner.test.ts</x:v>
      </x:c>
      <x:c r="J11" s="37" t="str">
        <x:v>部分検証</x:v>
      </x:c>
      <x:c r="K11" s="37" t="str">
        <x:v>高</x:v>
      </x:c>
      <x:c r="L11" s="37" t="str"/>
      <x:c r="M11" s="37" t="n">
        <x:v>46198</x:v>
      </x:c>
      <x:c r="N11" s="37" t="str">
        <x:v>合格</x:v>
      </x:c>
      <x:c r="O11" s="37" t="str">
        <x:v>slider値とschema境界を検証</x:v>
      </x:c>
    </x:row>
    <x:row r="12" ht="48" customHeight="1">
      <x:c r="A12" s="37" t="str">
        <x:v>US-008</x:v>
      </x:c>
      <x:c r="B12" s="37" t="str">
        <x:v>高速道路</x:v>
      </x:c>
      <x:c r="C12" s="37" t="str">
        <x:v>利用者</x:v>
      </x:c>
      <x:c r="D12" s="37" t="str">
        <x:v>高速あり/なしを実際の道路ルートへ反映したい</x:v>
      </x:c>
      <x:c r="E12" s="37" t="str">
        <x:v>こだわり条件を開く</x:v>
      </x:c>
      <x:c r="F12" s="37" t="str">
        <x:v>高速設定を切替→提案</x:v>
      </x:c>
      <x:c r="G12" s="37" t="str">
        <x:v>候補範囲だけでなく二輪道路ルートでも高速利用方針が変わる</x:v>
      </x:c>
      <x:c r="H12" s="37" t="str">
        <x:v>src/App.tsx; server/routing.ts</x:v>
      </x:c>
      <x:c r="I12" s="37" t="str">
        <x:v>routing.test.ts</x:v>
      </x:c>
      <x:c r="J12" s="37" t="str">
        <x:v>失敗</x:v>
      </x:c>
      <x:c r="K12" s="37" t="str">
        <x:v>高</x:v>
      </x:c>
      <x:c r="L12" s="37" t="str">
        <x:v>D-003</x:v>
      </x:c>
      <x:c r="M12" s="37" t="n">
        <x:v>46198</x:v>
      </x:c>
      <x:c r="N12" s="37" t="str">
        <x:v>合格</x:v>
      </x:c>
      <x:c r="O12" s="37" t="str">
        <x:v>Valhalla motorcycle: OFF=use_highways/use_tolls 0、ON=1。実APIでも高速なしを確認</x:v>
      </x:c>
    </x:row>
    <x:row r="13" ht="48" customHeight="1">
      <x:c r="A13" s="37" t="str">
        <x:v>US-009</x:v>
      </x:c>
      <x:c r="B13" s="37" t="str">
        <x:v>好み</x:v>
      </x:c>
      <x:c r="C13" s="37" t="str">
        <x:v>利用者</x:v>
      </x:c>
      <x:c r="D13" s="37" t="str">
        <x:v>景色の優先度を3段階で指定したい</x:v>
      </x:c>
      <x:c r="E13" s="37" t="str">
        <x:v>こだわり条件を開く</x:v>
      </x:c>
      <x:c r="F13" s="37" t="str">
        <x:v>景色を少なめ/ほどよく/重視から選択</x:v>
      </x:c>
      <x:c r="G13" s="37" t="str">
        <x:v>主目的地、構成、説明へ反映される</x:v>
      </x:c>
      <x:c r="H13" s="37" t="str">
        <x:v>src/App.tsx:723; server/planner.ts:549-579</x:v>
      </x:c>
      <x:c r="I13" s="37" t="str">
        <x:v>planner.test.ts:139,351</x:v>
      </x:c>
      <x:c r="J13" s="37" t="str">
        <x:v>自動テスト合格</x:v>
      </x:c>
      <x:c r="K13" s="37" t="str">
        <x:v>高</x:v>
      </x:c>
      <x:c r="L13" s="37" t="str"/>
      <x:c r="M13" s="37" t="str"/>
      <x:c r="N13" s="37" t="str"/>
      <x:c r="O13" s="37" t="str">
        <x:v>UI操作は未検証</x:v>
      </x:c>
    </x:row>
    <x:row r="14" ht="48" customHeight="1">
      <x:c r="A14" s="37" t="str">
        <x:v>US-010</x:v>
      </x:c>
      <x:c r="B14" s="37" t="str">
        <x:v>好み</x:v>
      </x:c>
      <x:c r="C14" s="37" t="str">
        <x:v>利用者</x:v>
      </x:c>
      <x:c r="D14" s="37" t="str">
        <x:v>グルメの優先度を3段階で指定したい</x:v>
      </x:c>
      <x:c r="E14" s="37" t="str">
        <x:v>こだわり条件を開く</x:v>
      </x:c>
      <x:c r="F14" s="37" t="str">
        <x:v>グルメを軽め/ほどよく/重視から選択</x:v>
      </x:c>
      <x:c r="G14" s="37" t="str">
        <x:v>重視時は名物グルメを主目的地にして景勝地を組み合わせる</x:v>
      </x:c>
      <x:c r="H14" s="37" t="str">
        <x:v>src/App.tsx:724; server/planner.ts:560-579</x:v>
      </x:c>
      <x:c r="I14" s="37" t="str">
        <x:v>planner.test.ts:158</x:v>
      </x:c>
      <x:c r="J14" s="37" t="str">
        <x:v>自動テスト合格</x:v>
      </x:c>
      <x:c r="K14" s="37" t="str">
        <x:v>高</x:v>
      </x:c>
      <x:c r="L14" s="37" t="str"/>
      <x:c r="M14" s="37" t="str"/>
      <x:c r="N14" s="37" t="str"/>
      <x:c r="O14" s="37" t="str">
        <x:v>UI操作は未検証</x:v>
      </x:c>
    </x:row>
    <x:row r="15" ht="48" customHeight="1">
      <x:c r="A15" s="37" t="str">
        <x:v>US-011</x:v>
      </x:c>
      <x:c r="B15" s="37" t="str">
        <x:v>好み</x:v>
      </x:c>
      <x:c r="C15" s="37" t="str">
        <x:v>利用者</x:v>
      </x:c>
      <x:c r="D15" s="37" t="str">
        <x:v>余裕の優先度を3段階で指定したい</x:v>
      </x:c>
      <x:c r="E15" s="37" t="str">
        <x:v>こだわり条件を開く</x:v>
      </x:c>
      <x:c r="F15" s="37" t="str">
        <x:v>余裕を詰める/標準/ゆったりから選択</x:v>
      </x:c>
      <x:c r="G15" s="37" t="str">
        <x:v>移動予算・休憩・余白へ反映される</x:v>
      </x:c>
      <x:c r="H15" s="37" t="str">
        <x:v>src/App.tsx:725; server/planner.ts:73,634</x:v>
      </x:c>
      <x:c r="I15" s="37" t="str">
        <x:v>なし</x:v>
      </x:c>
      <x:c r="J15" s="37" t="str">
        <x:v>未実施</x:v>
      </x:c>
      <x:c r="K15" s="37" t="str">
        <x:v>中</x:v>
      </x:c>
      <x:c r="L15" s="37" t="str"/>
      <x:c r="M15" s="37" t="str"/>
      <x:c r="N15" s="37" t="str"/>
      <x:c r="O15" s="37" t="str">
        <x:v>専用ロジックテストなし</x:v>
      </x:c>
    </x:row>
    <x:row r="16" ht="48" customHeight="1">
      <x:c r="A16" s="37" t="str">
        <x:v>US-012</x:v>
      </x:c>
      <x:c r="B16" s="37" t="str">
        <x:v>旅程種別</x:v>
      </x:c>
      <x:c r="C16" s="37" t="str">
        <x:v>利用者</x:v>
      </x:c>
      <x:c r="D16" s="37" t="str">
        <x:v>半日/日帰りを切り替えたい</x:v>
      </x:c>
      <x:c r="E16" s="37" t="str">
        <x:v>こだわり条件を開く</x:v>
      </x:c>
      <x:c r="F16" s="37" t="str">
        <x:v>半日または日帰りを選択</x:v>
      </x:c>
      <x:c r="G16" s="37" t="str">
        <x:v>半日は到達半径と立ち寄り数が小さくなる</x:v>
      </x:c>
      <x:c r="H16" s="37" t="str">
        <x:v>src/App.tsx:727-735; server/planner.ts:567</x:v>
      </x:c>
      <x:c r="I16" s="37" t="str">
        <x:v>planner.test.ts:567</x:v>
      </x:c>
      <x:c r="J16" s="37" t="str">
        <x:v>自動テスト合格</x:v>
      </x:c>
      <x:c r="K16" s="37" t="str">
        <x:v>中</x:v>
      </x:c>
      <x:c r="L16" s="37" t="str"/>
      <x:c r="M16" s="37" t="str"/>
      <x:c r="N16" s="37" t="str"/>
      <x:c r="O16" s="37" t="str">
        <x:v>UI操作は未検証</x:v>
      </x:c>
    </x:row>
    <x:row r="17" ht="48" customHeight="1">
      <x:c r="A17" s="37" t="str">
        <x:v>US-013</x:v>
      </x:c>
      <x:c r="B17" s="37" t="str">
        <x:v>プライバシー</x:v>
      </x:c>
      <x:c r="C17" s="37" t="str">
        <x:v>利用者</x:v>
      </x:c>
      <x:c r="D17" s="37" t="str">
        <x:v>位置情報の送信先・ログ保存・規約・連絡先を事前確認したい</x:v>
      </x:c>
      <x:c r="E17" s="37" t="str">
        <x:v>初期画面</x:v>
      </x:c>
      <x:c r="F17" s="37" t="str">
        <x:v>告知とリンクを確認</x:v>
      </x:c>
      <x:c r="G17" s="37" t="str">
        <x:v>GPS操作より前にOSM/Valhalla・規約・地図報告・連絡先が表示される</x:v>
      </x:c>
      <x:c r="H17" s="37" t="str">
        <x:v>src/App.tsx InputPanel</x:v>
      </x:c>
      <x:c r="I17" s="37" t="str">
        <x:v>deployment.test.ts</x:v>
      </x:c>
      <x:c r="J17" s="37" t="str">
        <x:v>自動テスト合格</x:v>
      </x:c>
      <x:c r="K17" s="37" t="str">
        <x:v>高</x:v>
      </x:c>
      <x:c r="L17" s="37" t="str"/>
      <x:c r="M17" s="37" t="n">
        <x:v>46198</x:v>
      </x:c>
      <x:c r="N17" s="37" t="str">
        <x:v>合格</x:v>
      </x:c>
      <x:c r="O17" s="37" t="str">
        <x:v>外部リンク遷移は実ブラウザ未検証</x:v>
      </x:c>
    </x:row>
    <x:row r="18" ht="48" customHeight="1">
      <x:c r="A18" s="37" t="str">
        <x:v>US-014</x:v>
      </x:c>
      <x:c r="B18" s="37" t="str">
        <x:v>生成方式</x:v>
      </x:c>
      <x:c r="C18" s="37" t="str">
        <x:v>利用者</x:v>
      </x:c>
      <x:c r="D18" s="37" t="str">
        <x:v>自動/高精度/登録データの提案方式を選びたい</x:v>
      </x:c>
      <x:c r="E18" s="37" t="str">
        <x:v>こだわり条件を開く</x:v>
      </x:c>
      <x:c r="F18" s="37" t="str">
        <x:v>提案方法を選択</x:v>
      </x:c>
      <x:c r="G18" s="37" t="str">
        <x:v>選択モードがPlanRequestへ反映される</x:v>
      </x:c>
      <x:c r="H18" s="37" t="str">
        <x:v>src/App.tsx:739-756,328-343</x:v>
      </x:c>
      <x:c r="I18" s="37" t="str">
        <x:v>api.test.ts:58,81,111</x:v>
      </x:c>
      <x:c r="J18" s="37" t="str">
        <x:v>部分検証</x:v>
      </x:c>
      <x:c r="K18" s="37" t="str">
        <x:v>高</x:v>
      </x:c>
      <x:c r="L18" s="37" t="str"/>
      <x:c r="M18" s="37" t="str"/>
      <x:c r="N18" s="37" t="str"/>
      <x:c r="O18" s="37" t="str">
        <x:v>UI操作は未検証</x:v>
      </x:c>
    </x:row>
    <x:row r="19" ht="48" customHeight="1">
      <x:c r="A19" s="37" t="str">
        <x:v>US-015</x:v>
      </x:c>
      <x:c r="B19" s="37" t="str">
        <x:v>Codex連携</x:v>
      </x:c>
      <x:c r="C19" s="37" t="str">
        <x:v>利用者</x:v>
      </x:c>
      <x:c r="D19" s="37" t="str">
        <x:v>Codex利用可否・認証状態・プラン種別を確認したい</x:v>
      </x:c>
      <x:c r="E19" s="37" t="str">
        <x:v>ローカルAPI利用可能</x:v>
      </x:c>
      <x:c r="F19" s="37" t="str">
        <x:v>更新を押す</x:v>
      </x:c>
      <x:c r="G19" s="37" t="str">
        <x:v>状態API結果が表示され、失敗時は利用不可を示す</x:v>
      </x:c>
      <x:c r="H19" s="37" t="str">
        <x:v>src/App.tsx:364-376,757-771; server/app.ts:34</x:v>
      </x:c>
      <x:c r="I19" s="37" t="str">
        <x:v>なし</x:v>
      </x:c>
      <x:c r="J19" s="37" t="str">
        <x:v>未実施</x:v>
      </x:c>
      <x:c r="K19" s="37" t="str">
        <x:v>高</x:v>
      </x:c>
      <x:c r="L19" s="37" t="str"/>
      <x:c r="M19" s="37" t="str"/>
      <x:c r="N19" s="37" t="str"/>
      <x:c r="O19" s="37" t="str">
        <x:v>PagesではAPIなし</x:v>
      </x:c>
    </x:row>
    <x:row r="20" ht="48" customHeight="1">
      <x:c r="A20" s="37" t="str">
        <x:v>US-016</x:v>
      </x:c>
      <x:c r="B20" s="37" t="str">
        <x:v>Codex連携</x:v>
      </x:c>
      <x:c r="C20" s="37" t="str">
        <x:v>スマホ利用者</x:v>
      </x:c>
      <x:c r="D20" s="37" t="str">
        <x:v>利用できないPages上でChatGPTログイン導線に迷わないようにしたい</x:v>
      </x:c>
      <x:c r="E20" s="37" t="str">
        <x:v>GitHub Pagesをスマホで開く</x:v>
      </x:c>
      <x:c r="F20" s="37" t="str">
        <x:v>こだわり条件→提案方法を見る</x:v>
      </x:c>
      <x:c r="G20" s="37" t="str">
        <x:v>未対応ログインを表示せず、登録データ版であることと利用方法を明示する</x:v>
      </x:c>
      <x:c r="H20" s="37" t="str">
        <x:v>src/App.tsx; src/lib/codexCapability.ts</x:v>
      </x:c>
      <x:c r="I20" s="37" t="str">
        <x:v>codexCapability.test.ts; inputPanel.test.tsx</x:v>
      </x:c>
      <x:c r="J20" s="37" t="str">
        <x:v>失敗</x:v>
      </x:c>
      <x:c r="K20" s="37" t="str">
        <x:v>高</x:v>
      </x:c>
      <x:c r="L20" s="37" t="str">
        <x:v>D-001</x:v>
      </x:c>
      <x:c r="M20" s="37" t="n">
        <x:v>46197</x:v>
      </x:c>
      <x:c r="N20" s="37" t="str">
        <x:v>合格</x:v>
      </x:c>
      <x:c r="O20" s="37" t="str">
        <x:v>API不在時は登録スポット提案のみ表示しログインを隠す</x:v>
      </x:c>
    </x:row>
    <x:row r="21" ht="48" customHeight="1">
      <x:c r="A21" s="37" t="str">
        <x:v>US-017</x:v>
      </x:c>
      <x:c r="B21" s="37" t="str">
        <x:v>Codex連携</x:v>
      </x:c>
      <x:c r="C21" s="37" t="str">
        <x:v>ローカル利用者</x:v>
      </x:c>
      <x:c r="D21" s="37" t="str">
        <x:v>ChatGPTデバイスコード/ブラウザ認証を開始したい</x:v>
      </x:c>
      <x:c r="E21" s="37" t="str">
        <x:v>Codex app-server利用可能</x:v>
      </x:c>
      <x:c r="F21" s="37" t="str">
        <x:v>ログインを押す</x:v>
      </x:c>
      <x:c r="G21" s="37" t="str">
        <x:v>URL・コードまたは認証リンクが表示され、処理中は二重実行不可</x:v>
      </x:c>
      <x:c r="H21" s="37" t="str">
        <x:v>src/App.tsx:377-394,772-791; server/app.ts:38</x:v>
      </x:c>
      <x:c r="I21" s="37" t="str">
        <x:v>api.test.ts:343</x:v>
      </x:c>
      <x:c r="J21" s="37" t="str">
        <x:v>部分検証</x:v>
      </x:c>
      <x:c r="K21" s="37" t="str">
        <x:v>中</x:v>
      </x:c>
      <x:c r="L21" s="37" t="str"/>
      <x:c r="M21" s="37" t="str"/>
      <x:c r="N21" s="37" t="str"/>
      <x:c r="O21" s="37" t="str">
        <x:v>画面操作は未検証</x:v>
      </x:c>
    </x:row>
    <x:row r="22" ht="48" customHeight="1">
      <x:c r="A22" s="37" t="str">
        <x:v>US-018</x:v>
      </x:c>
      <x:c r="B22" s="37" t="str">
        <x:v>プラン生成</x:v>
      </x:c>
      <x:c r="C22" s="37" t="str">
        <x:v>利用者</x:v>
      </x:c>
      <x:c r="D22" s="37" t="str">
        <x:v>条件から最大3件のルート候補を生成したい</x:v>
      </x:c>
      <x:c r="E22" s="37" t="str">
        <x:v>出発地点・条件入力済み</x:v>
      </x:c>
      <x:c r="F22" s="37" t="str">
        <x:v>ルートを提案を押す</x:v>
      </x:c>
      <x:c r="G22" s="37" t="str">
        <x:v>ローディング後に候補画面へ遷移し先頭候補を選択する</x:v>
      </x:c>
      <x:c r="H22" s="37" t="str">
        <x:v>src/App.tsx generatePlans</x:v>
      </x:c>
      <x:c r="I22" s="37" t="str">
        <x:v>planClient/api/planner tests; RUN-0015</x:v>
      </x:c>
      <x:c r="J22" s="37" t="str">
        <x:v>部分検証</x:v>
      </x:c>
      <x:c r="K22" s="37" t="str">
        <x:v>高</x:v>
      </x:c>
      <x:c r="L22" s="37" t="str"/>
      <x:c r="M22" s="37" t="n">
        <x:v>46198</x:v>
      </x:c>
      <x:c r="N22" s="37" t="str">
        <x:v>合格</x:v>
      </x:c>
      <x:c r="O22" s="37" t="str">
        <x:v>純静的版とAPI版で3候補確認</x:v>
      </x:c>
    </x:row>
    <x:row r="23" ht="48" customHeight="1">
      <x:c r="A23" s="37" t="str">
        <x:v>US-019</x:v>
      </x:c>
      <x:c r="B23" s="37" t="str">
        <x:v>プラン生成</x:v>
      </x:c>
      <x:c r="C23" s="37" t="str">
        <x:v>利用者</x:v>
      </x:c>
      <x:c r="D23" s="37" t="str">
        <x:v>生成中の待ち時間と進行を理解したい</x:v>
      </x:c>
      <x:c r="E23" s="37" t="str">
        <x:v>生成開始</x:v>
      </x:c>
      <x:c r="F23" s="37" t="str">
        <x:v>生成完了まで待つ</x:v>
      </x:c>
      <x:c r="G23" s="37" t="str">
        <x:v>ボタンが無効化され、スピナーと進捗文言が順に表示される</x:v>
      </x:c>
      <x:c r="H23" s="37" t="str">
        <x:v>src/App.tsx loading overlay</x:v>
      </x:c>
      <x:c r="I23" s="37" t="str">
        <x:v>RUN-0015</x:v>
      </x:c>
      <x:c r="J23" s="37" t="str">
        <x:v>未実施</x:v>
      </x:c>
      <x:c r="K23" s="37" t="str">
        <x:v>中</x:v>
      </x:c>
      <x:c r="L23" s="37" t="str"/>
      <x:c r="M23" s="37" t="n">
        <x:v>46198</x:v>
      </x:c>
      <x:c r="N23" s="37" t="str">
        <x:v>合格</x:v>
      </x:c>
      <x:c r="O23" s="37" t="str">
        <x:v>実ブラウザで提案中・進捗文言・disabled確認</x:v>
      </x:c>
    </x:row>
    <x:row r="24" ht="48" customHeight="1">
      <x:c r="A24" s="37" t="str">
        <x:v>US-020</x:v>
      </x:c>
      <x:c r="B24" s="37" t="str">
        <x:v>プラン生成</x:v>
      </x:c>
      <x:c r="C24" s="37" t="str">
        <x:v>利用者</x:v>
      </x:c>
      <x:c r="D24" s="37" t="str">
        <x:v>API/Codex失敗時も登録データで提案を得たい</x:v>
      </x:c>
      <x:c r="E24" s="37" t="str">
        <x:v>APIまたはCodex利用不可</x:v>
      </x:c>
      <x:c r="F24" s="37" t="str">
        <x:v>ルートを提案</x:v>
      </x:c>
      <x:c r="G24" s="37" t="str">
        <x:v>同じレスポンス形でローカル提案へ切替え、理由を表示する</x:v>
      </x:c>
      <x:c r="H24" s="37" t="str">
        <x:v>src/lib/planClient.ts; server/planService.ts:103</x:v>
      </x:c>
      <x:c r="I24" s="37" t="str">
        <x:v>planClient.test.ts; api.test.ts:243,266,295</x:v>
      </x:c>
      <x:c r="J24" s="37" t="str">
        <x:v>自動テスト合格</x:v>
      </x:c>
      <x:c r="K24" s="37" t="str">
        <x:v>高</x:v>
      </x:c>
      <x:c r="L24" s="37" t="str"/>
      <x:c r="M24" s="37" t="str"/>
      <x:c r="N24" s="37" t="str"/>
      <x:c r="O24" s="37" t="str"/>
    </x:row>
    <x:row r="25" ht="48" customHeight="1">
      <x:c r="A25" s="37" t="str">
        <x:v>US-021</x:v>
      </x:c>
      <x:c r="B25" s="37" t="str">
        <x:v>プラン生成</x:v>
      </x:c>
      <x:c r="C25" s="37" t="str">
        <x:v>利用者</x:v>
      </x:c>
      <x:c r="D25" s="37" t="str">
        <x:v>候補0件時に条件変更の案内を受けたい</x:v>
      </x:c>
      <x:c r="E25" s="37" t="str">
        <x:v>候補が成立しない条件</x:v>
      </x:c>
      <x:c r="F25" s="37" t="str">
        <x:v>提案結果を見る</x:v>
      </x:c>
      <x:c r="G25" s="37" t="str">
        <x:v>時間・距離・出発地点変更を案内しクラッシュしない</x:v>
      </x:c>
      <x:c r="H25" s="37" t="str">
        <x:v>src/App.tsx PlanList; server/planner.ts</x:v>
      </x:c>
      <x:c r="I25" s="37" t="str">
        <x:v>planViews.test.tsx; planner.test.ts</x:v>
      </x:c>
      <x:c r="J25" s="37" t="str">
        <x:v>部分検証</x:v>
      </x:c>
      <x:c r="K25" s="37" t="str">
        <x:v>中</x:v>
      </x:c>
      <x:c r="L25" s="37" t="str"/>
      <x:c r="M25" s="37" t="n">
        <x:v>46198</x:v>
      </x:c>
      <x:c r="N25" s="37" t="str">
        <x:v>合格</x:v>
      </x:c>
      <x:c r="O25" s="37" t="str">
        <x:v>UI文言とロジックを検証</x:v>
      </x:c>
    </x:row>
    <x:row r="26" ht="48" customHeight="1">
      <x:c r="A26" s="37" t="str">
        <x:v>US-022</x:v>
      </x:c>
      <x:c r="B26" s="37" t="str">
        <x:v>候補比較</x:v>
      </x:c>
      <x:c r="C26" s="37" t="str">
        <x:v>利用者</x:v>
      </x:c>
      <x:c r="D26" s="37" t="str">
        <x:v>距離・時間・高速・比較タグで候補を選びたい</x:v>
      </x:c>
      <x:c r="E26" s="37" t="str">
        <x:v>複数候補生成済み</x:v>
      </x:c>
      <x:c r="F26" s="37" t="str">
        <x:v>候補一覧を比較して選択</x:v>
      </x:c>
      <x:c r="G26" s="37" t="str">
        <x:v>距離、約時間、高速、景色/食事/休憩/注意等が過密なく表示される</x:v>
      </x:c>
      <x:c r="H26" s="37" t="str">
        <x:v>src/App.tsx PlanList</x:v>
      </x:c>
      <x:c r="I26" s="37" t="str">
        <x:v>planViews.test.tsx</x:v>
      </x:c>
      <x:c r="J26" s="37" t="str">
        <x:v>未実施</x:v>
      </x:c>
      <x:c r="K26" s="37" t="str">
        <x:v>高</x:v>
      </x:c>
      <x:c r="L26" s="37" t="str"/>
      <x:c r="M26" s="37" t="n">
        <x:v>46198</x:v>
      </x:c>
      <x:c r="N26" s="37" t="str">
        <x:v>合格</x:v>
      </x:c>
      <x:c r="O26" s="37" t="str">
        <x:v>比較値・タグ・選択callbackを検証</x:v>
      </x:c>
    </x:row>
    <x:row r="27" ht="48" customHeight="1">
      <x:c r="A27" s="37" t="str">
        <x:v>US-023</x:v>
      </x:c>
      <x:c r="B27" s="37" t="str">
        <x:v>候補選択</x:v>
      </x:c>
      <x:c r="C27" s="37" t="str">
        <x:v>利用者</x:v>
      </x:c>
      <x:c r="D27" s="37" t="str">
        <x:v>候補選択時にルート全体を地図へ収めたい</x:v>
      </x:c>
      <x:c r="E27" s="37" t="str">
        <x:v>候補生成済み</x:v>
      </x:c>
      <x:c r="F27" s="37" t="str">
        <x:v>別候補をタップ</x:v>
      </x:c>
      <x:c r="G27" s="37" t="str">
        <x:v>選択状態、先頭スポット、地図fit、ルート描画が更新される</x:v>
      </x:c>
      <x:c r="H27" s="37" t="str">
        <x:v>src/App.tsx mapFitKey/selectPlan</x:v>
      </x:c>
      <x:c r="I27" s="37" t="str">
        <x:v>sheetControls.test.tsx; RUN-0017</x:v>
      </x:c>
      <x:c r="J27" s="37" t="str">
        <x:v>未実施</x:v>
      </x:c>
      <x:c r="K27" s="37" t="str">
        <x:v>高</x:v>
      </x:c>
      <x:c r="L27" s="37" t="str"/>
      <x:c r="M27" s="37" t="n">
        <x:v>46198</x:v>
      </x:c>
      <x:c r="N27" s="37" t="str">
        <x:v>合格</x:v>
      </x:c>
      <x:c r="O27" s="37" t="str">
        <x:v>別候補選択と再描画を実ブラウザ確認</x:v>
      </x:c>
    </x:row>
    <x:row r="28" ht="48" customHeight="1">
      <x:c r="A28" s="37" t="str">
        <x:v>US-024</x:v>
      </x:c>
      <x:c r="B28" s="37" t="str">
        <x:v>ルート表示</x:v>
      </x:c>
      <x:c r="C28" s="37" t="str">
        <x:v>利用者</x:v>
      </x:c>
      <x:c r="D28" s="37" t="str">
        <x:v>道路形状に沿うルート線を見たい</x:v>
      </x:c>
      <x:c r="E28" s="37" t="str">
        <x:v>Valhalla利用可能</x:v>
      </x:c>
      <x:c r="F28" s="37" t="str">
        <x:v>候補を生成</x:v>
      </x:c>
      <x:c r="G28" s="37" t="str">
        <x:v>routeSource=valhallaの道路形状が地図に表示される</x:v>
      </x:c>
      <x:c r="H28" s="37" t="str">
        <x:v>server/routing.ts; src/App.tsx</x:v>
      </x:c>
      <x:c r="I28" s="37" t="str">
        <x:v>planClient.test.ts; routing.test.ts; 実API RUN-0010</x:v>
      </x:c>
      <x:c r="J28" s="37" t="str">
        <x:v>自動テスト合格</x:v>
      </x:c>
      <x:c r="K28" s="37" t="str">
        <x:v>高</x:v>
      </x:c>
      <x:c r="L28" s="37" t="str"/>
      <x:c r="M28" s="37" t="n">
        <x:v>46198</x:v>
      </x:c>
      <x:c r="N28" s="37" t="str">
        <x:v>合格</x:v>
      </x:c>
      <x:c r="O28" s="37" t="str">
        <x:v>実APIで206道路座標を確認。実画面は未検証</x:v>
      </x:c>
    </x:row>
    <x:row r="29" ht="48" customHeight="1">
      <x:c r="A29" s="37" t="str">
        <x:v>US-025</x:v>
      </x:c>
      <x:c r="B29" s="37" t="str">
        <x:v>ルート表示</x:v>
      </x:c>
      <x:c r="C29" s="37" t="str">
        <x:v>利用者</x:v>
      </x:c>
      <x:c r="D29" s="37" t="str">
        <x:v>Valhalla失敗時も簡易ルートで継続したい</x:v>
      </x:c>
      <x:c r="E29" s="37" t="str">
        <x:v>Valhalla不可/予算切れ</x:v>
      </x:c>
      <x:c r="F29" s="37" t="str">
        <x:v>候補を生成</x:v>
      </x:c>
      <x:c r="G29" s="37" t="str">
        <x:v>概算線へ退避し簡易ルート表示を明示する</x:v>
      </x:c>
      <x:c r="H29" s="37" t="str">
        <x:v>server/routing.ts; src/App.tsx</x:v>
      </x:c>
      <x:c r="I29" s="37" t="str">
        <x:v>planClient.test.ts</x:v>
      </x:c>
      <x:c r="J29" s="37" t="str">
        <x:v>自動テスト合格</x:v>
      </x:c>
      <x:c r="K29" s="37" t="str">
        <x:v>高</x:v>
      </x:c>
      <x:c r="L29" s="37" t="str"/>
      <x:c r="M29" s="37" t="n">
        <x:v>46198</x:v>
      </x:c>
      <x:c r="N29" s="37" t="str">
        <x:v>合格</x:v>
      </x:c>
      <x:c r="O29" s="37" t="str">
        <x:v>timeout/失敗時fallbackを維持</x:v>
      </x:c>
    </x:row>
    <x:row r="30" ht="48" customHeight="1">
      <x:c r="A30" s="37" t="str">
        <x:v>US-026</x:v>
      </x:c>
      <x:c r="B30" s="37" t="str">
        <x:v>ルート表示</x:v>
      </x:c>
      <x:c r="C30" s="37" t="str">
        <x:v>利用者</x:v>
      </x:c>
      <x:c r="D30" s="37" t="str">
        <x:v>ルートが出発地から順に滑らかに伸びる様子を見たい</x:v>
      </x:c>
      <x:c r="E30" s="37" t="str">
        <x:v>候補選択済み</x:v>
      </x:c>
      <x:c r="F30" s="37" t="str">
        <x:v>ルート描画を観察</x:v>
      </x:c>
      <x:c r="G30" s="37" t="str">
        <x:v>約4.2秒で一方向に進み、終点で停止し巻き戻らない</x:v>
      </x:c>
      <x:c r="H30" s="37" t="str">
        <x:v>src/App.tsx; routeAnimation.ts</x:v>
      </x:c>
      <x:c r="I30" s="37" t="str">
        <x:v>planner.test.ts; RUN-0017</x:v>
      </x:c>
      <x:c r="J30" s="37" t="str">
        <x:v>部分検証</x:v>
      </x:c>
      <x:c r="K30" s="37" t="str">
        <x:v>中</x:v>
      </x:c>
      <x:c r="L30" s="37" t="str"/>
      <x:c r="M30" s="37" t="n">
        <x:v>46198</x:v>
      </x:c>
      <x:c r="N30" s="37" t="str">
        <x:v>合格</x:v>
      </x:c>
      <x:c r="O30" s="37" t="str">
        <x:v>SVG進行長40→176→530で単調増加</x:v>
      </x:c>
    </x:row>
    <x:row r="31" ht="48" customHeight="1">
      <x:c r="A31" s="37" t="str">
        <x:v>US-027</x:v>
      </x:c>
      <x:c r="B31" s="37" t="str">
        <x:v>旅程詳細</x:v>
      </x:c>
      <x:c r="C31" s="37" t="str">
        <x:v>利用者</x:v>
      </x:c>
      <x:c r="D31" s="37" t="str">
        <x:v>立ち寄り順・名物・目的・ライダーメモ・滞在目安を確認したい</x:v>
      </x:c>
      <x:c r="E31" s="37" t="str">
        <x:v>候補選択済み</x:v>
      </x:c>
      <x:c r="F31" s="37" t="str">
        <x:v>立ち寄り先→詳細を開く</x:v>
      </x:c>
      <x:c r="G31" s="37" t="str">
        <x:v>選択スポットと旅程情報が表示される</x:v>
      </x:c>
      <x:c r="H31" s="37" t="str">
        <x:v>src/App.tsx PlanItinerary</x:v>
      </x:c>
      <x:c r="I31" s="37" t="str">
        <x:v>planViews.test.tsx</x:v>
      </x:c>
      <x:c r="J31" s="37" t="str">
        <x:v>未実施</x:v>
      </x:c>
      <x:c r="K31" s="37" t="str">
        <x:v>高</x:v>
      </x:c>
      <x:c r="L31" s="37" t="str"/>
      <x:c r="M31" s="37" t="n">
        <x:v>46198</x:v>
      </x:c>
      <x:c r="N31" s="37" t="str">
        <x:v>合格</x:v>
      </x:c>
      <x:c r="O31" s="37" t="str">
        <x:v>旅程文・名物・メモ・滞在・選択callbackを検証</x:v>
      </x:c>
    </x:row>
    <x:row r="32" ht="48" customHeight="1">
      <x:c r="A32" s="37" t="str">
        <x:v>US-028</x:v>
      </x:c>
      <x:c r="B32" s="37" t="str">
        <x:v>地図スポット</x:v>
      </x:c>
      <x:c r="C32" s="37" t="str">
        <x:v>利用者</x:v>
      </x:c>
      <x:c r="D32" s="37" t="str">
        <x:v>地図マーカーからスポット説明と画像を確認したい</x:v>
      </x:c>
      <x:c r="E32" s="37" t="str">
        <x:v>候補表示済み</x:v>
      </x:c>
      <x:c r="F32" s="37" t="str">
        <x:v>マーカーをタップ</x:v>
      </x:c>
      <x:c r="G32" s="37" t="str">
        <x:v>対象を選択し、画像ありは画像/クレジット、なしはテキストを表示する</x:v>
      </x:c>
      <x:c r="H32" s="37" t="str">
        <x:v>src/App.tsx spotPopupHtml</x:v>
      </x:c>
      <x:c r="I32" s="37" t="str">
        <x:v>spotPopup.test.ts; RUN-0015</x:v>
      </x:c>
      <x:c r="J32" s="37" t="str">
        <x:v>未実施</x:v>
      </x:c>
      <x:c r="K32" s="37" t="str">
        <x:v>高</x:v>
      </x:c>
      <x:c r="L32" s="37" t="str"/>
      <x:c r="M32" s="37" t="n">
        <x:v>46198</x:v>
      </x:c>
      <x:c r="N32" s="37" t="str">
        <x:v>合格</x:v>
      </x:c>
      <x:c r="O32" s="37" t="str">
        <x:v>画像なしpopup実画面、画像あり/escape自動テスト</x:v>
      </x:c>
    </x:row>
    <x:row r="33" ht="48" customHeight="1">
      <x:c r="A33" s="37" t="str">
        <x:v>US-029</x:v>
      </x:c>
      <x:c r="B33" s="37" t="str">
        <x:v>地図スポット</x:v>
      </x:c>
      <x:c r="C33" s="37" t="str">
        <x:v>利用者</x:v>
      </x:c>
      <x:c r="D33" s="37" t="str">
        <x:v>旅程選択時に地図上の位置を見失わないようにしたい</x:v>
      </x:c>
      <x:c r="E33" s="37" t="str">
        <x:v>旅程表示中</x:v>
      </x:c>
      <x:c r="F33" s="37" t="str">
        <x:v>スポットをタップ</x:v>
      </x:c>
      <x:c r="G33" s="37" t="str">
        <x:v>シートで隠れない地図中心へ移動しポップアップを開く</x:v>
      </x:c>
      <x:c r="H33" s="37" t="str">
        <x:v>src/App.tsx flyToSpotInVisibleMapArea</x:v>
      </x:c>
      <x:c r="I33" s="37" t="str">
        <x:v>RUN-0015</x:v>
      </x:c>
      <x:c r="J33" s="37" t="str">
        <x:v>未実施</x:v>
      </x:c>
      <x:c r="K33" s="37" t="str">
        <x:v>高</x:v>
      </x:c>
      <x:c r="L33" s="37" t="str"/>
      <x:c r="M33" s="37" t="n">
        <x:v>46198</x:v>
      </x:c>
      <x:c r="N33" s="37" t="str">
        <x:v>合格</x:v>
      </x:c>
      <x:c r="O33" s="37" t="str">
        <x:v>旅程で日田焼きそば選択→同名popupへ同期</x:v>
      </x:c>
    </x:row>
    <x:row r="34" ht="48" customHeight="1">
      <x:c r="A34" s="37" t="str">
        <x:v>US-030</x:v>
      </x:c>
      <x:c r="B34" s="37" t="str">
        <x:v>ボトムシート</x:v>
      </x:c>
      <x:c r="C34" s="37" t="str">
        <x:v>スマホ利用者</x:v>
      </x:c>
      <x:c r="D34" s="37" t="str">
        <x:v>シートをpeek/mid/fullへ伸縮し地図と内容を行き来したい</x:v>
      </x:c>
      <x:c r="E34" s="37" t="str">
        <x:v>スマホ表示</x:v>
      </x:c>
      <x:c r="F34" s="37" t="str">
        <x:v>ハンドルをタップ/ドラッグ</x:v>
      </x:c>
      <x:c r="G34" s="37" t="str">
        <x:v>70px閾値で状態遷移し、fullから必ずmidへ戻せる明示操作がある</x:v>
      </x:c>
      <x:c r="H34" s="37" t="str">
        <x:v>src/App.tsx; styles.css</x:v>
      </x:c>
      <x:c r="I34" s="37" t="str">
        <x:v>sheetControls.test.tsx; RUN-0014</x:v>
      </x:c>
      <x:c r="J34" s="37" t="str">
        <x:v>失敗</x:v>
      </x:c>
      <x:c r="K34" s="37" t="str">
        <x:v>高</x:v>
      </x:c>
      <x:c r="L34" s="37" t="str">
        <x:v>D-002,D-005</x:v>
      </x:c>
      <x:c r="M34" s="37" t="n">
        <x:v>46198</x:v>
      </x:c>
      <x:c r="N34" s="37" t="str">
        <x:v>合格</x:v>
      </x:c>
      <x:c r="O34" s="37" t="str">
        <x:v>full縮小、上下drag、click二重反応なしを390px確認</x:v>
      </x:c>
    </x:row>
    <x:row r="35" ht="48" customHeight="1">
      <x:c r="A35" s="37" t="str">
        <x:v>US-031</x:v>
      </x:c>
      <x:c r="B35" s="37" t="str">
        <x:v>レスポンシブ</x:v>
      </x:c>
      <x:c r="C35" s="37" t="str">
        <x:v>利用者</x:v>
      </x:c>
      <x:c r="D35" s="37" t="str">
        <x:v>360/390/430pxとデスクトップで重なりなく使いたい</x:v>
      </x:c>
      <x:c r="E35" s="37" t="str">
        <x:v>各viewport</x:v>
      </x:c>
      <x:c r="F35" s="37" t="str">
        <x:v>主要フローを操作</x:v>
      </x:c>
      <x:c r="G35" s="37" t="str">
        <x:v>生成ボタン、シート、ポップアップ、地図が重ならずタップ領域44px以上</x:v>
      </x:c>
      <x:c r="H35" s="37" t="str">
        <x:v>src/styles.css media rules</x:v>
      </x:c>
      <x:c r="I35" s="37" t="str">
        <x:v>RUN-0014</x:v>
      </x:c>
      <x:c r="J35" s="37" t="str">
        <x:v>未実施</x:v>
      </x:c>
      <x:c r="K35" s="37" t="str">
        <x:v>高</x:v>
      </x:c>
      <x:c r="L35" s="37" t="str">
        <x:v>D-008</x:v>
      </x:c>
      <x:c r="M35" s="37" t="n">
        <x:v>46198</x:v>
      </x:c>
      <x:c r="N35" s="37" t="str">
        <x:v>合格</x:v>
      </x:c>
      <x:c r="O35" s="37" t="str">
        <x:v>360/390/430で横overflowなし、全表示button 44px以上</x:v>
      </x:c>
    </x:row>
    <x:row r="36" ht="48" customHeight="1">
      <x:c r="A36" s="37" t="str">
        <x:v>US-032</x:v>
      </x:c>
      <x:c r="B36" s="37" t="str">
        <x:v>候補データ</x:v>
      </x:c>
      <x:c r="C36" s="37" t="str">
        <x:v>利用者</x:v>
      </x:c>
      <x:c r="D36" s="37" t="str">
        <x:v>好みと距離から到達可能な最大42スポットへ候補を絞ってほしい</x:v>
      </x:c>
      <x:c r="E36" s="37" t="str">
        <x:v>有効な条件</x:v>
      </x:c>
      <x:c r="F36" s="37" t="str">
        <x:v>提案生成</x:v>
      </x:c>
      <x:c r="G36" s="37" t="str">
        <x:v>圏外を除外しスコア・距離順で候補を絞る</x:v>
      </x:c>
      <x:c r="H36" s="37" t="str">
        <x:v>server/planner.ts:81-129</x:v>
      </x:c>
      <x:c r="I36" s="37" t="str">
        <x:v>planner.test.ts:573等</x:v>
      </x:c>
      <x:c r="J36" s="37" t="str">
        <x:v>部分検証</x:v>
      </x:c>
      <x:c r="K36" s="37" t="str">
        <x:v>中</x:v>
      </x:c>
      <x:c r="L36" s="37" t="str"/>
      <x:c r="M36" s="37" t="str"/>
      <x:c r="N36" s="37" t="str"/>
      <x:c r="O36" s="37" t="str">
        <x:v>上限42の直接テストなし</x:v>
      </x:c>
    </x:row>
    <x:row r="37" ht="48" customHeight="1">
      <x:c r="A37" s="37" t="str">
        <x:v>US-033</x:v>
      </x:c>
      <x:c r="B37" s="37" t="str">
        <x:v>候補データ</x:v>
      </x:c>
      <x:c r="C37" s="37" t="str">
        <x:v>利用者</x:v>
      </x:c>
      <x:c r="D37" s="37" t="str">
        <x:v>3案が同一スポット/主目的地へ偏らないようにしたい</x:v>
      </x:c>
      <x:c r="E37" s="37" t="str">
        <x:v>複数候補あり</x:v>
      </x:c>
      <x:c r="F37" s="37" t="str">
        <x:v>3案生成</x:v>
      </x:c>
      <x:c r="G37" s="37" t="str">
        <x:v>同一構成と同一主目的地を重複採用しない</x:v>
      </x:c>
      <x:c r="H37" s="37" t="str">
        <x:v>server/planService.ts:114-127</x:v>
      </x:c>
      <x:c r="I37" s="37" t="str">
        <x:v>api.test.ts:153; planner.test.ts:100</x:v>
      </x:c>
      <x:c r="J37" s="37" t="str">
        <x:v>自動テスト合格</x:v>
      </x:c>
      <x:c r="K37" s="37" t="str">
        <x:v>高</x:v>
      </x:c>
      <x:c r="L37" s="37" t="str"/>
      <x:c r="M37" s="37" t="str"/>
      <x:c r="N37" s="37" t="str"/>
      <x:c r="O37" s="37" t="str">
        <x:v>主目的地判定がタイトル依存</x:v>
      </x:c>
    </x:row>
    <x:row r="38" ht="48" customHeight="1">
      <x:c r="A38" s="37" t="str">
        <x:v>US-034</x:v>
      </x:c>
      <x:c r="B38" s="37" t="str">
        <x:v>ルート構成</x:v>
      </x:c>
      <x:c r="C38" s="37" t="str">
        <x:v>利用者</x:v>
      </x:c>
      <x:c r="D38" s="37" t="str">
        <x:v>一方面へ近い順に進み東西往復や大迂回を避けたい</x:v>
      </x:c>
      <x:c r="E38" s="37" t="str">
        <x:v>複数方面候補あり</x:v>
      </x:c>
      <x:c r="F38" s="37" t="str">
        <x:v>提案生成</x:v>
      </x:c>
      <x:c r="G38" s="37" t="str">
        <x:v>主目的地方向に絞り、近い順で実用的な経路になる</x:v>
      </x:c>
      <x:c r="H38" s="37" t="str">
        <x:v>server/planner.ts:580-632</x:v>
      </x:c>
      <x:c r="I38" s="37" t="str">
        <x:v>planner.test.ts:244,511,528</x:v>
      </x:c>
      <x:c r="J38" s="37" t="str">
        <x:v>自動テスト合格</x:v>
      </x:c>
      <x:c r="K38" s="37" t="str">
        <x:v>高</x:v>
      </x:c>
      <x:c r="L38" s="37" t="str"/>
      <x:c r="M38" s="37" t="str"/>
      <x:c r="N38" s="37" t="str"/>
      <x:c r="O38" s="37" t="str"/>
    </x:row>
    <x:row r="39" ht="48" customHeight="1">
      <x:c r="A39" s="37" t="str">
        <x:v>US-035</x:v>
      </x:c>
      <x:c r="B39" s="37" t="str">
        <x:v>ルート構成</x:v>
      </x:c>
      <x:c r="C39" s="37" t="str">
        <x:v>利用者</x:v>
      </x:c>
      <x:c r="D39" s="37" t="str">
        <x:v>グルメ重視で名物店＋景勝地を巡りたい</x:v>
      </x:c>
      <x:c r="E39" s="37" t="str">
        <x:v>gourmet=high</x:v>
      </x:c>
      <x:c r="F39" s="37" t="str">
        <x:v>提案生成</x:v>
      </x:c>
      <x:c r="G39" s="37" t="str">
        <x:v>名物登録地点を主目的地にし景勝地を含む</x:v>
      </x:c>
      <x:c r="H39" s="37" t="str">
        <x:v>server/planner.ts:560-579</x:v>
      </x:c>
      <x:c r="I39" s="37" t="str">
        <x:v>planner.test.ts:158,226</x:v>
      </x:c>
      <x:c r="J39" s="37" t="str">
        <x:v>自動テスト合格</x:v>
      </x:c>
      <x:c r="K39" s="37" t="str">
        <x:v>高</x:v>
      </x:c>
      <x:c r="L39" s="37" t="str"/>
      <x:c r="M39" s="37" t="str"/>
      <x:c r="N39" s="37" t="str"/>
      <x:c r="O39" s="37" t="str"/>
    </x:row>
    <x:row r="40" ht="48" customHeight="1">
      <x:c r="A40" s="37" t="str">
        <x:v>US-036</x:v>
      </x:c>
      <x:c r="B40" s="37" t="str">
        <x:v>ルート構成</x:v>
      </x:c>
      <x:c r="C40" s="37" t="str">
        <x:v>利用者</x:v>
      </x:c>
      <x:c r="D40" s="37" t="str">
        <x:v>走り重視で登録道路＋名物グルメ＋景勝地を巡りたい</x:v>
      </x:c>
      <x:c r="E40" s="37" t="str">
        <x:v>road=high API入力</x:v>
      </x:c>
      <x:c r="F40" s="37" t="str">
        <x:v>提案生成</x:v>
      </x:c>
      <x:c r="G40" s="37" t="str">
        <x:v>登録roadを主目的地に必要カテゴリを構成する</x:v>
      </x:c>
      <x:c r="H40" s="37" t="str">
        <x:v>server/planner.ts:566-579</x:v>
      </x:c>
      <x:c r="I40" s="37" t="str">
        <x:v>planner.test.ts:174</x:v>
      </x:c>
      <x:c r="J40" s="37" t="str">
        <x:v>自動テスト合格</x:v>
      </x:c>
      <x:c r="K40" s="37" t="str">
        <x:v>中</x:v>
      </x:c>
      <x:c r="L40" s="37" t="str"/>
      <x:c r="M40" s="37" t="str"/>
      <x:c r="N40" s="37" t="str"/>
      <x:c r="O40" s="37" t="str">
        <x:v>UIからroad値を変更できない</x:v>
      </x:c>
    </x:row>
    <x:row r="41" ht="48" customHeight="1">
      <x:c r="A41" s="37" t="str">
        <x:v>US-037</x:v>
      </x:c>
      <x:c r="B41" s="37" t="str">
        <x:v>ルート構成</x:v>
      </x:c>
      <x:c r="C41" s="37" t="str">
        <x:v>利用者</x:v>
      </x:c>
      <x:c r="D41" s="37" t="str">
        <x:v>実経路が予算超過なら主目的地を守って寄り道を減らしたい</x:v>
      </x:c>
      <x:c r="E41" s="37" t="str">
        <x:v>OSRM結果が超過</x:v>
      </x:c>
      <x:c r="F41" s="37" t="str">
        <x:v>提案生成</x:v>
      </x:c>
      <x:c r="G41" s="37" t="str">
        <x:v>必要構成を壊さない範囲で補助スポットを削る</x:v>
      </x:c>
      <x:c r="H41" s="37" t="str">
        <x:v>server/planner.ts:260-319</x:v>
      </x:c>
      <x:c r="I41" s="37" t="str">
        <x:v>planner.test.ts:90,226,268</x:v>
      </x:c>
      <x:c r="J41" s="37" t="str">
        <x:v>自動テスト合格</x:v>
      </x:c>
      <x:c r="K41" s="37" t="str">
        <x:v>高</x:v>
      </x:c>
      <x:c r="L41" s="37" t="str"/>
      <x:c r="M41" s="37" t="str"/>
      <x:c r="N41" s="37" t="str"/>
      <x:c r="O41" s="37" t="str"/>
    </x:row>
    <x:row r="42" ht="48" customHeight="1">
      <x:c r="A42" s="37" t="str">
        <x:v>US-038</x:v>
      </x:c>
      <x:c r="B42" s="37" t="str">
        <x:v>帰路</x:v>
      </x:c>
      <x:c r="C42" s="37" t="str">
        <x:v>利用者</x:v>
      </x:c>
      <x:c r="D42" s="37" t="str">
        <x:v>可能なら往路と異なる現実的な帰路を走りたい</x:v>
      </x:c>
      <x:c r="E42" s="37" t="str">
        <x:v>道路ルート取得可能</x:v>
      </x:c>
      <x:c r="F42" s="37" t="str">
        <x:v>提案生成</x:v>
      </x:c>
      <x:c r="G42" s="37" t="str">
        <x:v>予算内、迂回30%以内、snap2km以内、重複50%以下の帰路を選ぶ</x:v>
      </x:c>
      <x:c r="H42" s="37" t="str">
        <x:v>server/planner.ts:331-369</x:v>
      </x:c>
      <x:c r="I42" s="37" t="str">
        <x:v>planner.test.ts:389-480</x:v>
      </x:c>
      <x:c r="J42" s="37" t="str">
        <x:v>自動テスト合格</x:v>
      </x:c>
      <x:c r="K42" s="37" t="str">
        <x:v>高</x:v>
      </x:c>
      <x:c r="L42" s="37" t="str"/>
      <x:c r="M42" s="37" t="str"/>
      <x:c r="N42" s="37" t="str"/>
      <x:c r="O42" s="37" t="str"/>
    </x:row>
    <x:row r="43" ht="48" customHeight="1">
      <x:c r="A43" s="37" t="str">
        <x:v>US-039</x:v>
      </x:c>
      <x:c r="B43" s="37" t="str">
        <x:v>入力検証</x:v>
      </x:c>
      <x:c r="C43" s="37" t="str">
        <x:v>API利用者</x:v>
      </x:c>
      <x:c r="D43" s="37" t="str">
        <x:v>不正な座標・制約・件数・画像URLを拒否してほしい</x:v>
      </x:c>
      <x:c r="E43" s="37" t="str">
        <x:v>不正入力</x:v>
      </x:c>
      <x:c r="F43" s="37" t="str">
        <x:v>POST /api/plans</x:v>
      </x:c>
      <x:c r="G43" s="37" t="str">
        <x:v>400とZod issuesを返し安全でないURLを拒否する</x:v>
      </x:c>
      <x:c r="H43" s="37" t="str">
        <x:v>src/shared/types.ts; server/app.ts:46-54</x:v>
      </x:c>
      <x:c r="I43" s="37" t="str">
        <x:v>api.test.ts:357; planner.test.ts:110</x:v>
      </x:c>
      <x:c r="J43" s="37" t="str">
        <x:v>自動テスト合格</x:v>
      </x:c>
      <x:c r="K43" s="37" t="str">
        <x:v>高</x:v>
      </x:c>
      <x:c r="L43" s="37" t="str"/>
      <x:c r="M43" s="37" t="str"/>
      <x:c r="N43" s="37" t="str"/>
      <x:c r="O43" s="37" t="str"/>
    </x:row>
    <x:row r="44" ht="48" customHeight="1">
      <x:c r="A44" s="37" t="str">
        <x:v>US-040</x:v>
      </x:c>
      <x:c r="B44" s="37" t="str">
        <x:v>API運用</x:v>
      </x:c>
      <x:c r="C44" s="37" t="str">
        <x:v>運用者</x:v>
      </x:c>
      <x:c r="D44" s="37" t="str">
        <x:v>本文1MB/IP毎分30件/CORS/localhost bindでAPIを保護したい</x:v>
      </x:c>
      <x:c r="E44" s="37" t="str">
        <x:v>API起動</x:v>
      </x:c>
      <x:c r="F44" s="37" t="str">
        <x:v>制限超過/他originアクセス</x:v>
      </x:c>
      <x:c r="G44" s="37" t="str">
        <x:v>過大本文、過剰生成、許可外originを拒否し外部bindしない</x:v>
      </x:c>
      <x:c r="H44" s="37" t="str">
        <x:v>server/app.ts:8-24,67-95; server/index.ts</x:v>
      </x:c>
      <x:c r="I44" s="37" t="str">
        <x:v>なし</x:v>
      </x:c>
      <x:c r="J44" s="37" t="str">
        <x:v>未実施</x:v>
      </x:c>
      <x:c r="K44" s="37" t="str">
        <x:v>高</x:v>
      </x:c>
      <x:c r="L44" s="37" t="str"/>
      <x:c r="M44" s="37" t="str"/>
      <x:c r="N44" s="37" t="str"/>
      <x:c r="O44" s="37" t="str"/>
    </x:row>
    <x:row r="45" ht="48" customHeight="1">
      <x:c r="A45" s="37" t="str">
        <x:v>US-041</x:v>
      </x:c>
      <x:c r="B45" s="37" t="str">
        <x:v>API状態</x:v>
      </x:c>
      <x:c r="C45" s="37" t="str">
        <x:v>利用者</x:v>
      </x:c>
      <x:c r="D45" s="37" t="str">
        <x:v>health・Codex status・login startの状態を取得したい</x:v>
      </x:c>
      <x:c r="E45" s="37" t="str">
        <x:v>ローカルAPI起動</x:v>
      </x:c>
      <x:c r="F45" s="37" t="str">
        <x:v>各endpointへアクセス</x:v>
      </x:c>
      <x:c r="G45" s="37" t="str">
        <x:v>provider状態とログイン開始結果がJSONで返る</x:v>
      </x:c>
      <x:c r="H45" s="37" t="str">
        <x:v>server/app.ts</x:v>
      </x:c>
      <x:c r="I45" s="37" t="str">
        <x:v>api.test.ts</x:v>
      </x:c>
      <x:c r="J45" s="37" t="str">
        <x:v>部分検証</x:v>
      </x:c>
      <x:c r="K45" s="37" t="str">
        <x:v>中</x:v>
      </x:c>
      <x:c r="L45" s="37" t="str"/>
      <x:c r="M45" s="37" t="n">
        <x:v>46198</x:v>
      </x:c>
      <x:c r="N45" s="37" t="str">
        <x:v>合格</x:v>
      </x:c>
      <x:c r="O45" s="37" t="str">
        <x:v>health/status/login startを検証</x:v>
      </x:c>
    </x:row>
    <x:row r="46" ht="48" customHeight="1">
      <x:c r="A46" s="37" t="str">
        <x:v>US-042</x:v>
      </x:c>
      <x:c r="B46" s="37" t="str">
        <x:v>Codex安全性</x:v>
      </x:c>
      <x:c r="C46" s="37" t="str">
        <x:v>運用者</x:v>
      </x:c>
      <x:c r="D46" s="37" t="str">
        <x:v>Codexへ登録候補だけを渡し読取専用・承認なし・ツールなしで実行したい</x:v>
      </x:c>
      <x:c r="E46" s="37" t="str">
        <x:v>Codex利用可能</x:v>
      </x:c>
      <x:c r="F46" s="37" t="str">
        <x:v>高精度提案</x:v>
      </x:c>
      <x:c r="G46" s="37" t="str">
        <x:v>候補外ID/承認/編集を拒否しoutput schemaを検証する</x:v>
      </x:c>
      <x:c r="H46" s="37" t="str">
        <x:v>server/codexProvider.ts; server/planService.ts</x:v>
      </x:c>
      <x:c r="I46" s="37" t="str">
        <x:v>codexProvider.test.ts; api.test.ts:295</x:v>
      </x:c>
      <x:c r="J46" s="37" t="str">
        <x:v>自動テスト合格</x:v>
      </x:c>
      <x:c r="K46" s="37" t="str">
        <x:v>高</x:v>
      </x:c>
      <x:c r="L46" s="37" t="str"/>
      <x:c r="M46" s="37" t="str"/>
      <x:c r="N46" s="37" t="str"/>
      <x:c r="O46" s="37" t="str"/>
    </x:row>
    <x:row r="47" ht="48" customHeight="1">
      <x:c r="A47" s="37" t="str">
        <x:v>US-043</x:v>
      </x:c>
      <x:c r="B47" s="37" t="str">
        <x:v>Codex復旧</x:v>
      </x:c>
      <x:c r="C47" s="37" t="str">
        <x:v>利用者</x:v>
      </x:c>
      <x:c r="D47" s="37" t="str">
        <x:v>未ログイン・rate limit・timeout・不正応答でもローカル提案を得たい</x:v>
      </x:c>
      <x:c r="E47" s="37" t="str">
        <x:v>Codex異常</x:v>
      </x:c>
      <x:c r="F47" s="37" t="str">
        <x:v>提案生成</x:v>
      </x:c>
      <x:c r="G47" s="37" t="str">
        <x:v>原因をfallbackReasonへ残してローカル提案を返す</x:v>
      </x:c>
      <x:c r="H47" s="37" t="str">
        <x:v>server/planService.ts:20-109</x:v>
      </x:c>
      <x:c r="I47" s="37" t="str">
        <x:v>api.test.ts:20,243,266,295</x:v>
      </x:c>
      <x:c r="J47" s="37" t="str">
        <x:v>自動テスト合格</x:v>
      </x:c>
      <x:c r="K47" s="37" t="str">
        <x:v>高</x:v>
      </x:c>
      <x:c r="L47" s="37" t="str"/>
      <x:c r="M47" s="37" t="str"/>
      <x:c r="N47" s="37" t="str"/>
      <x:c r="O47" s="37" t="str"/>
    </x:row>
    <x:row r="48" ht="48" customHeight="1">
      <x:c r="A48" s="37" t="str">
        <x:v>US-044</x:v>
      </x:c>
      <x:c r="B48" s="37" t="str">
        <x:v>経路API保護</x:v>
      </x:c>
      <x:c r="C48" s="37" t="str">
        <x:v>運用者</x:v>
      </x:c>
      <x:c r="D48" s="37" t="str">
        <x:v>Valhallaをキャッシュ・1並列・1.1秒間隔・12要求/18秒以内で使いたい</x:v>
      </x:c>
      <x:c r="E48" s="37" t="str">
        <x:v>ブラウザローカル生成</x:v>
      </x:c>
      <x:c r="F48" s="37" t="str">
        <x:v>複数経路計算</x:v>
      </x:c>
      <x:c r="G48" s="37" t="str">
        <x:v>同一URLを再利用し複数タブを直列化、予算超過で概算へ退避</x:v>
      </x:c>
      <x:c r="H48" s="37" t="str">
        <x:v>server/routing.ts; src/lib/planClient.ts</x:v>
      </x:c>
      <x:c r="I48" s="37" t="str">
        <x:v>routing.test.ts; planClient.test.ts</x:v>
      </x:c>
      <x:c r="J48" s="37" t="str">
        <x:v>自動テスト合格</x:v>
      </x:c>
      <x:c r="K48" s="37" t="str">
        <x:v>高</x:v>
      </x:c>
      <x:c r="L48" s="37" t="str"/>
      <x:c r="M48" s="37" t="n">
        <x:v>46198</x:v>
      </x:c>
      <x:c r="N48" s="37" t="str">
        <x:v>合格</x:v>
      </x:c>
      <x:c r="O48" s="37" t="str">
        <x:v>実複数タブは未検証</x:v>
      </x:c>
    </x:row>
    <x:row r="49" ht="48" customHeight="1">
      <x:c r="A49" s="37" t="str">
        <x:v>US-045</x:v>
      </x:c>
      <x:c r="B49" s="37" t="str">
        <x:v>画像安全性</x:v>
      </x:c>
      <x:c r="C49" s="37" t="str">
        <x:v>利用者</x:v>
      </x:c>
      <x:c r="D49" s="37" t="str">
        <x:v>安全な画像URLと出典だけを表示してほしい</x:v>
      </x:c>
      <x:c r="E49" s="37" t="str">
        <x:v>スポット画像あり</x:v>
      </x:c>
      <x:c r="F49" s="37" t="str">
        <x:v>ポップアップ表示</x:v>
      </x:c>
      <x:c r="G49" s="37" t="str">
        <x:v>HTTPS/同一originのみ許可しHTMLをescapeする</x:v>
      </x:c>
      <x:c r="H49" s="37" t="str">
        <x:v>src/shared/types.ts; src/App.tsx spotPopupHtml</x:v>
      </x:c>
      <x:c r="I49" s="37" t="str">
        <x:v>planner.test.ts; spotPopup.test.ts</x:v>
      </x:c>
      <x:c r="J49" s="37" t="str">
        <x:v>部分検証</x:v>
      </x:c>
      <x:c r="K49" s="37" t="str">
        <x:v>高</x:v>
      </x:c>
      <x:c r="L49" s="37" t="str"/>
      <x:c r="M49" s="37" t="n">
        <x:v>46198</x:v>
      </x:c>
      <x:c r="N49" s="37" t="str">
        <x:v>合格</x:v>
      </x:c>
      <x:c r="O49" s="37" t="str">
        <x:v>画像有無とHTML escapeを直接検証</x:v>
      </x:c>
    </x:row>
    <x:row r="50" ht="48" customHeight="1">
      <x:c r="A50" s="37" t="str">
        <x:v>US-046</x:v>
      </x:c>
      <x:c r="B50" s="37" t="str">
        <x:v>画像管理</x:v>
      </x:c>
      <x:c r="C50" s="37" t="str">
        <x:v>管理者</x:v>
      </x:c>
      <x:c r="D50" s="37" t="str">
        <x:v>Commons/Wikidataから画像・作者・ライセンスを補完したい</x:v>
      </x:c>
      <x:c r="E50" s="37" t="str">
        <x:v>管理CLI</x:v>
      </x:c>
      <x:c r="F50" s="37" t="str">
        <x:v>npm run spots:images</x:v>
      </x:c>
      <x:c r="G50" s="37" t="str">
        <x:v>名称/地域で候補照合し安全なメタデータだけJSONへ保存する</x:v>
      </x:c>
      <x:c r="H50" s="37" t="str">
        <x:v>scripts/enrich-spot-images.mjs</x:v>
      </x:c>
      <x:c r="I50" s="37" t="str">
        <x:v>なし</x:v>
      </x:c>
      <x:c r="J50" s="37" t="str">
        <x:v>未実施</x:v>
      </x:c>
      <x:c r="K50" s="37" t="str">
        <x:v>低</x:v>
      </x:c>
      <x:c r="L50" s="37" t="str"/>
      <x:c r="M50" s="37" t="str"/>
      <x:c r="N50" s="37" t="str"/>
      <x:c r="O50" s="37" t="str"/>
    </x:row>
    <x:row r="51" ht="48" customHeight="1">
      <x:c r="A51" s="37" t="str">
        <x:v>US-047</x:v>
      </x:c>
      <x:c r="B51" s="37" t="str">
        <x:v>PWA</x:v>
      </x:c>
      <x:c r="C51" s="37" t="str">
        <x:v>スマホ利用者</x:v>
      </x:c>
      <x:c r="D51" s="37" t="str">
        <x:v>アプリをホーム画面へ追加してスタンドアロンで開きたい</x:v>
      </x:c>
      <x:c r="E51" s="37" t="str">
        <x:v>HTTPS Pages</x:v>
      </x:c>
      <x:c r="F51" s="37" t="str">
        <x:v>インストール操作</x:v>
      </x:c>
      <x:c r="G51" s="37" t="str">
        <x:v>manifest名・theme・iconでstandalone起動する</x:v>
      </x:c>
      <x:c r="H51" s="37" t="str">
        <x:v>index.html; public/manifest.webmanifest</x:v>
      </x:c>
      <x:c r="I51" s="37" t="str">
        <x:v>なし</x:v>
      </x:c>
      <x:c r="J51" s="37" t="str">
        <x:v>未実施</x:v>
      </x:c>
      <x:c r="K51" s="37" t="str">
        <x:v>中</x:v>
      </x:c>
      <x:c r="L51" s="37" t="str"/>
      <x:c r="M51" s="37" t="str"/>
      <x:c r="N51" s="37" t="str"/>
      <x:c r="O51" s="37" t="str">
        <x:v>SVG iconのみ</x:v>
      </x:c>
    </x:row>
    <x:row r="52" ht="48" customHeight="1">
      <x:c r="A52" s="37" t="str">
        <x:v>US-048</x:v>
      </x:c>
      <x:c r="B52" s="37" t="str">
        <x:v>Service Worker</x:v>
      </x:c>
      <x:c r="C52" s="37" t="str">
        <x:v>スマホ利用者</x:v>
      </x:c>
      <x:c r="D52" s="37" t="str">
        <x:v>再訪・通信断時にキャッシュ済みアプリシェルを起動したい</x:v>
      </x:c>
      <x:c r="E52" s="37" t="str">
        <x:v>一度オンライン起動済み</x:v>
      </x:c>
      <x:c r="F52" s="37" t="str">
        <x:v>オフライン再読込</x:v>
      </x:c>
      <x:c r="G52" s="37" t="str">
        <x:v>HTML/JS/CSS/アイコンをキャッシュしnavigationをapp shellへ戻す</x:v>
      </x:c>
      <x:c r="H52" s="37" t="str">
        <x:v>public/service-worker.js; src/main.tsx</x:v>
      </x:c>
      <x:c r="I52" s="37" t="str">
        <x:v>deployment.test.ts:16静的のみ</x:v>
      </x:c>
      <x:c r="J52" s="37" t="str">
        <x:v>未実施</x:v>
      </x:c>
      <x:c r="K52" s="37" t="str">
        <x:v>中</x:v>
      </x:c>
      <x:c r="L52" s="37" t="str"/>
      <x:c r="M52" s="37" t="str"/>
      <x:c r="N52" s="37" t="str"/>
      <x:c r="O52" s="37" t="str">
        <x:v>実ブラウザオフライン未検証</x:v>
      </x:c>
    </x:row>
    <x:row r="53" ht="48" customHeight="1">
      <x:c r="A53" s="37" t="str">
        <x:v>US-049</x:v>
      </x:c>
      <x:c r="B53" s="37" t="str">
        <x:v>Pages</x:v>
      </x:c>
      <x:c r="C53" s="37" t="str">
        <x:v>利用者</x:v>
      </x:c>
      <x:c r="D53" s="37" t="str">
        <x:v>公開Pages URLから最新main版を開きたい</x:v>
      </x:c>
      <x:c r="E53" s="37" t="str">
        <x:v>mainへpush</x:v>
      </x:c>
      <x:c r="F53" s="37" t="str">
        <x:v>公開URLを開く</x:v>
      </x:c>
      <x:c r="G53" s="37" t="str">
        <x:v>テスト/ビルド後にサブパス配信されHTTPS 200になる</x:v>
      </x:c>
      <x:c r="H53" s="37" t="str">
        <x:v>vite.config.ts; deploy-pages.yml</x:v>
      </x:c>
      <x:c r="I53" s="37" t="str">
        <x:v>deployment.test.ts; RUN-0011</x:v>
      </x:c>
      <x:c r="J53" s="37" t="str">
        <x:v>部分検証</x:v>
      </x:c>
      <x:c r="K53" s="37" t="str">
        <x:v>高</x:v>
      </x:c>
      <x:c r="L53" s="37" t="str"/>
      <x:c r="M53" s="37" t="n">
        <x:v>46198</x:v>
      </x:c>
      <x:c r="N53" s="37" t="str">
        <x:v>合格</x:v>
      </x:c>
      <x:c r="O53" s="37" t="str">
        <x:v>現行mainはHTTPS 200。今回差分のpush後に再確認必要</x:v>
      </x:c>
    </x:row>
    <x:row r="54" ht="48" customHeight="1">
      <x:c r="A54" s="37" t="str">
        <x:v>US-050</x:v>
      </x:c>
      <x:c r="B54" s="37" t="str">
        <x:v>セキュリティ運用</x:v>
      </x:c>
      <x:c r="C54" s="37" t="str">
        <x:v>運用者</x:v>
      </x:c>
      <x:c r="D54" s="37" t="str">
        <x:v>検索除外・CSP・HTTPS・脆弱性更新・非公開報告を維持したい</x:v>
      </x:c>
      <x:c r="E54" s="37" t="str">
        <x:v>公開運用</x:v>
      </x:c>
      <x:c r="F54" s="37" t="str">
        <x:v>設定とヘッダを確認</x:v>
      </x:c>
      <x:c r="G54" s="37" t="str">
        <x:v>外部接続先が限定され、Dependabot/報告導線が機能する</x:v>
      </x:c>
      <x:c r="H54" s="37" t="str">
        <x:v>index.html; robots.txt; .github</x:v>
      </x:c>
      <x:c r="I54" s="37" t="str">
        <x:v>deployment.test.ts:23</x:v>
      </x:c>
      <x:c r="J54" s="37" t="str">
        <x:v>部分検証</x:v>
      </x:c>
      <x:c r="K54" s="37" t="str">
        <x:v>中</x:v>
      </x:c>
      <x:c r="L54" s="37" t="str"/>
      <x:c r="M54" s="37" t="str"/>
      <x:c r="N54" s="37" t="str"/>
      <x:c r="O54" s="37" t="str">
        <x:v>GitHub設定も確認</x:v>
      </x:c>
    </x:row>
    <x:row r="55" ht="48" customHeight="1">
      <x:c r="A55" s="37" t="str">
        <x:v>US-051</x:v>
      </x:c>
      <x:c r="B55" s="37" t="str">
        <x:v>状態整合</x:v>
      </x:c>
      <x:c r="C55" s="37" t="str">
        <x:v>利用者</x:v>
      </x:c>
      <x:c r="D55" s="37" t="str">
        <x:v>条件変更後に古いプランを現在条件の結果として誤認しないようにしたい</x:v>
      </x:c>
      <x:c r="E55" s="37" t="str">
        <x:v>プラン生成済み</x:v>
      </x:c>
      <x:c r="F55" s="37" t="str">
        <x:v>出発地/条件/好みを変更</x:v>
      </x:c>
      <x:c r="G55" s="37" t="str">
        <x:v>既存プランを無効表示またはクリアし再生成を促す</x:v>
      </x:c>
      <x:c r="H55" s="37" t="str">
        <x:v>src/App.tsx invalidateGeneratedPlans/planResponseRef</x:v>
      </x:c>
      <x:c r="I55" s="37" t="str">
        <x:v>RUN-0015</x:v>
      </x:c>
      <x:c r="J55" s="37" t="str">
        <x:v>失敗</x:v>
      </x:c>
      <x:c r="K55" s="37" t="str">
        <x:v>中</x:v>
      </x:c>
      <x:c r="L55" s="37" t="str">
        <x:v>D-004</x:v>
      </x:c>
      <x:c r="M55" s="37" t="n">
        <x:v>46198</x:v>
      </x:c>
      <x:c r="N55" s="37" t="str">
        <x:v>合格</x:v>
      </x:c>
      <x:c r="O55" s="37" t="str">
        <x:v>候補nav・popup・旧タイトル消去を実ブラウザ確認</x:v>
      </x:c>
    </x:row>
    <x:row r="56" ht="48" customHeight="1">
      <x:c r="A56" s="37" t="str">
        <x:v>US-052</x:v>
      </x:c>
      <x:c r="B56" s="37" t="str">
        <x:v>エラー表示</x:v>
      </x:c>
      <x:c r="C56" s="37" t="str">
        <x:v>利用者</x:v>
      </x:c>
      <x:c r="D56" s="37" t="str">
        <x:v>フォールバック理由と失敗を理解できる言葉で確認したい</x:v>
      </x:c>
      <x:c r="E56" s="37" t="str">
        <x:v>生成エラー/フォールバック</x:v>
      </x:c>
      <x:c r="F56" s="37" t="str">
        <x:v>結果を見る</x:v>
      </x:c>
      <x:c r="G56" s="37" t="str">
        <x:v>技術情報を出し過ぎず、次に取れる操作を示す</x:v>
      </x:c>
      <x:c r="H56" s="37" t="str">
        <x:v>src/App.tsx:350-394,843-848</x:v>
      </x:c>
      <x:c r="I56" s="37" t="str">
        <x:v>なし</x:v>
      </x:c>
      <x:c r="J56" s="37" t="str">
        <x:v>未実施</x:v>
      </x:c>
      <x:c r="K56" s="37" t="str">
        <x:v>中</x:v>
      </x:c>
      <x:c r="L56" s="37" t="str"/>
      <x:c r="M56" s="37" t="str"/>
      <x:c r="N56" s="37" t="str"/>
      <x:c r="O56" s="37" t="str"/>
    </x:row>
    <x:row r="57" ht="48" customHeight="1">
      <x:c r="A57" s="37" t="str">
        <x:v>US-053</x:v>
      </x:c>
      <x:c r="B57" s="37" t="str">
        <x:v>配信更新</x:v>
      </x:c>
      <x:c r="C57" s="37" t="str">
        <x:v>利用者</x:v>
      </x:c>
      <x:c r="D57" s="37" t="str">
        <x:v>新バージョン公開後に古い自アプリキャッシュだけを削除したい</x:v>
      </x:c>
      <x:c r="E57" s="37" t="str">
        <x:v>SW更新</x:v>
      </x:c>
      <x:c r="F57" s="37" t="str">
        <x:v>再訪</x:v>
      </x:c>
      <x:c r="G57" s="37" t="str">
        <x:v>他サイトキャッシュを触らず旧kyushu-touring cacheを削除する</x:v>
      </x:c>
      <x:c r="H57" s="37" t="str">
        <x:v>public/service-worker.js:1-17</x:v>
      </x:c>
      <x:c r="I57" s="37" t="str">
        <x:v>deployment.test.ts:16</x:v>
      </x:c>
      <x:c r="J57" s="37" t="str">
        <x:v>部分検証</x:v>
      </x:c>
      <x:c r="K57" s="37" t="str">
        <x:v>中</x:v>
      </x:c>
      <x:c r="L57" s="37" t="str"/>
      <x:c r="M57" s="37" t="str"/>
      <x:c r="N57" s="37" t="str"/>
      <x:c r="O57" s="37" t="str">
        <x:v>実更新未検証</x:v>
      </x:c>
    </x:row>
    <x:row r="58" ht="48" customHeight="1">
      <x:c r="A58" s="37" t="str">
        <x:v>US-054</x:v>
      </x:c>
      <x:c r="B58" s="37" t="str">
        <x:v>データ品質</x:v>
      </x:c>
      <x:c r="C58" s="37" t="str">
        <x:v>利用者</x:v>
      </x:c>
      <x:c r="D58" s="37" t="str">
        <x:v>252件の登録スポットをカテゴリ別に利用したい</x:v>
      </x:c>
      <x:c r="E58" s="37" t="str">
        <x:v>登録データ読込</x:v>
      </x:c>
      <x:c r="F58" s="37" t="str">
        <x:v>提案生成</x:v>
      </x:c>
      <x:c r="G58" s="37" t="str">
        <x:v>gourmet28/rest125/scenic90/road9から条件に合う地点を使う</x:v>
      </x:c>
      <x:c r="H58" s="37" t="str">
        <x:v>data/kyushu-spots.json</x:v>
      </x:c>
      <x:c r="I58" s="37" t="str">
        <x:v>planner/api tests</x:v>
      </x:c>
      <x:c r="J58" s="37" t="str">
        <x:v>部分検証</x:v>
      </x:c>
      <x:c r="K58" s="37" t="str">
        <x:v>中</x:v>
      </x:c>
      <x:c r="L58" s="37" t="str"/>
      <x:c r="M58" s="37" t="str"/>
      <x:c r="N58" s="37" t="str"/>
      <x:c r="O58" s="37" t="str">
        <x:v>画像ありは3件のみ</x:v>
      </x:c>
    </x:row>
    <x:row r="59" ht="48" customHeight="1">
      <x:c r="A59" s="37" t="str">
        <x:v>US-055</x:v>
      </x:c>
      <x:c r="B59" s="37" t="str">
        <x:v>同一オリジン配信</x:v>
      </x:c>
      <x:c r="C59" s="37" t="str">
        <x:v>ローカル利用者</x:v>
      </x:c>
      <x:c r="D59" s="37" t="str">
        <x:v>ビルド済みUIとAPIを同じoriginで利用したい</x:v>
      </x:c>
      <x:c r="E59" s="37" t="str">
        <x:v>distありでserver起動</x:v>
      </x:c>
      <x:c r="F59" s="37" t="str">
        <x:v>非API URLへアクセス</x:v>
      </x:c>
      <x:c r="G59" s="37" t="str">
        <x:v>静的ファイルとSPA fallbackを返す</x:v>
      </x:c>
      <x:c r="H59" s="37" t="str">
        <x:v>server/app.ts:56-64</x:v>
      </x:c>
      <x:c r="I59" s="37" t="str">
        <x:v>api.test.ts:361</x:v>
      </x:c>
      <x:c r="J59" s="37" t="str">
        <x:v>自動テスト合格</x:v>
      </x:c>
      <x:c r="K59" s="37" t="str">
        <x:v>低</x:v>
      </x:c>
      <x:c r="L59" s="37" t="str"/>
      <x:c r="M59" s="37" t="str"/>
      <x:c r="N59" s="37" t="str"/>
      <x:c r="O59" s="37" t="str"/>
    </x:row>
    <x:row r="60" ht="48" customHeight="1">
      <x:c r="A60" s="37" t="str">
        <x:v>US-056</x:v>
      </x:c>
      <x:c r="B60" s="37" t="str">
        <x:v>公開版の機能差</x:v>
      </x:c>
      <x:c r="C60" s="37" t="str">
        <x:v>スマホ利用者</x:v>
      </x:c>
      <x:c r="D60" s="37" t="str">
        <x:v>Pages版とローカル版で利用可能機能の違いを理解したい</x:v>
      </x:c>
      <x:c r="E60" s="37" t="str">
        <x:v>Pagesまたはローカルで起動</x:v>
      </x:c>
      <x:c r="F60" s="37" t="str">
        <x:v>こだわり条件を見る</x:v>
      </x:c>
      <x:c r="G60" s="37" t="str">
        <x:v>Pagesは登録データ＋Valhalla、ローカルはCodex連携可と明示される</x:v>
      </x:c>
      <x:c r="H60" s="37" t="str">
        <x:v>src/lib/codexCapability.ts; src/App.tsx</x:v>
      </x:c>
      <x:c r="I60" s="37" t="str">
        <x:v>codexCapability.test.ts; inputPanel.test.tsx</x:v>
      </x:c>
      <x:c r="J60" s="37" t="str">
        <x:v>失敗</x:v>
      </x:c>
      <x:c r="K60" s="37" t="str">
        <x:v>高</x:v>
      </x:c>
      <x:c r="L60" s="37" t="str">
        <x:v>D-001</x:v>
      </x:c>
      <x:c r="M60" s="37" t="n">
        <x:v>46198</x:v>
      </x:c>
      <x:c r="N60" s="37" t="str">
        <x:v>合格</x:v>
      </x:c>
      <x:c r="O60" s="37" t="str">
        <x:v>API能力検出は3秒timeout付き</x:v>
      </x:c>
    </x:row>
  </x:sheetData>
  <x:mergeCells>
    <x:mergeCell ref="A1:O2"/>
    <x:mergeCell ref="A3:O3"/>
  </x:mergeCells>
  <x:conditionalFormatting sqref="J5:J60">
    <x:cfRule type="containsText" dxfId="0" priority="1" operator="containsText" text="失敗"/>
    <x:cfRule type="containsText" dxfId="1" priority="2" operator="containsText" text="合格"/>
    <x:cfRule type="containsText" dxfId="2" priority="3" operator="containsText" text="未実施"/>
  </x:conditionalFormatting>
  <x:dataValidations count="3">
    <x:dataValidation type="list" sqref="J5:J60">
      <x:formula1>"未実施,自動テスト合格,部分検証,失敗,修正済み,再テスト合格,対象外"</x:formula1>
    </x:dataValidation>
    <x:dataValidation type="list" sqref="K5:K60">
      <x:formula1>"高,中,低"</x:formula1>
    </x:dataValidation>
    <x:dataValidation type="list" sqref="N5:N60">
      <x:formula1>"未実施,合格,失敗,対象外"</x:formula1>
    </x:dataValidation>
  </x:dataValidations>
  <x:pageMargins left="0.7" right="0.7" top="0.75" bottom="0.75" header="0.3" footer="0.3"/>
  <x:tableParts count="1">
    <x:tablePart xmlns:r="http://schemas.openxmlformats.org/officeDocument/2006/relationships" r:id="R8595d109b0b1442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18" hidden="0" customWidth="1"/>
    <x:col min="4" max="4" width="18" hidden="0" customWidth="1"/>
    <x:col min="5" max="5" width="16" hidden="0" customWidth="1"/>
    <x:col min="6" max="6" width="12" hidden="0" customWidth="1"/>
    <x:col min="7" max="7" width="34" hidden="0" customWidth="1"/>
    <x:col min="8" max="8" width="42" hidden="0" customWidth="1"/>
    <x:col min="9" max="9" width="16" hidden="0" customWidth="1"/>
    <x:col min="10" max="10" width="16" hidden="0" customWidth="1"/>
  </x:cols>
  <x:sheetData>
    <x:row r="1">
      <x:c r="A1" s="32" t="str">
        <x:v>Test Runs - 実行証跡</x:v>
      </x:c>
      <x:c r="B1" s="32"/>
      <x:c r="C1" s="32"/>
      <x:c r="D1" s="32"/>
      <x:c r="E1" s="32"/>
      <x:c r="F1" s="32"/>
      <x:c r="G1" s="32"/>
      <x:c r="H1" s="32"/>
      <x:c r="I1" s="32"/>
      <x:c r="J1" s="32"/>
    </x:row>
    <x:row r="2">
      <x:c r="A2" s="32"/>
      <x:c r="B2" s="32"/>
      <x:c r="C2" s="32"/>
      <x:c r="D2" s="32"/>
      <x:c r="E2" s="32"/>
      <x:c r="F2" s="32"/>
      <x:c r="G2" s="32"/>
      <x:c r="H2" s="32"/>
      <x:c r="I2" s="32"/>
      <x:c r="J2" s="32"/>
    </x:row>
    <x:row r="4">
      <x:c r="A4" s="35" t="str">
        <x:v>Run ID</x:v>
      </x:c>
      <x:c r="B4" s="35" t="str">
        <x:v>実行日</x:v>
      </x:c>
      <x:c r="C4" s="35" t="str">
        <x:v>環境</x:v>
      </x:c>
      <x:c r="D4" s="35" t="str">
        <x:v>Viewport/方式</x:v>
      </x:c>
      <x:c r="E4" s="35" t="str">
        <x:v>Story ID</x:v>
      </x:c>
      <x:c r="F4" s="35" t="str">
        <x:v>結果</x:v>
      </x:c>
      <x:c r="G4" s="35" t="str">
        <x:v>証跡</x:v>
      </x:c>
      <x:c r="H4" s="35" t="str">
        <x:v>エラー/所見</x:v>
      </x:c>
      <x:c r="I4" s="35" t="str">
        <x:v>修正Commit</x:v>
      </x:c>
      <x:c r="J4" s="35" t="str">
        <x:v>再テスト結果</x:v>
      </x:c>
    </x:row>
    <x:row r="5">
      <x:c r="A5" s="36" t="str">
        <x:v>RUN-0001</x:v>
      </x:c>
      <x:c r="B5" s="39" t="n">
        <x:v>46197</x:v>
      </x:c>
      <x:c r="C5" s="36" t="str">
        <x:v>自動テスト</x:v>
      </x:c>
      <x:c r="D5" s="36" t="str">
        <x:v>Node/Vitest</x:v>
      </x:c>
      <x:c r="E5" s="36" t="str">
        <x:v>全ロジック対象</x:v>
      </x:c>
      <x:c r="F5" s="36" t="str">
        <x:v>合格</x:v>
      </x:c>
      <x:c r="G5" s="36" t="str">
        <x:v>npm test: 62/62</x:v>
      </x:c>
      <x:c r="H5" s="36" t="str"/>
      <x:c r="I5" s="36" t="str"/>
      <x:c r="J5" s="36" t="str"/>
    </x:row>
    <x:row r="6">
      <x:c r="A6" s="36" t="str">
        <x:v>RUN-0002</x:v>
      </x:c>
      <x:c r="B6" s="39" t="n">
        <x:v>46197</x:v>
      </x:c>
      <x:c r="C6" s="36" t="str">
        <x:v>本番ビルド</x:v>
      </x:c>
      <x:c r="D6" s="36" t="str">
        <x:v>Vite Pages build</x:v>
      </x:c>
      <x:c r="E6" s="36" t="str">
        <x:v>US-049</x:v>
      </x:c>
      <x:c r="F6" s="36" t="str">
        <x:v>合格</x:v>
      </x:c>
      <x:c r="G6" s="36" t="str">
        <x:v>npm run build</x:v>
      </x:c>
      <x:c r="H6" s="36" t="str">
        <x:v>bundle size warningのみ</x:v>
      </x:c>
      <x:c r="I6" s="36" t="str"/>
      <x:c r="J6" s="36" t="str"/>
    </x:row>
    <x:row r="7">
      <x:c r="A7" s="36" t="str">
        <x:v>RUN-0003</x:v>
      </x:c>
      <x:c r="B7" s="39" t="n">
        <x:v>46197</x:v>
      </x:c>
      <x:c r="C7" s="36" t="str">
        <x:v>コード監査</x:v>
      </x:c>
      <x:c r="D7" s="36" t="str">
        <x:v>静的レビュー</x:v>
      </x:c>
      <x:c r="E7" s="36" t="str">
        <x:v>US-016</x:v>
      </x:c>
      <x:c r="F7" s="36" t="str">
        <x:v>失敗</x:v>
      </x:c>
      <x:c r="G7" s="36" t="str">
        <x:v>src/App.tsxとPages構成</x:v>
      </x:c>
      <x:c r="H7" s="36" t="str">
        <x:v>app-serverなしでログインUI表示</x:v>
      </x:c>
      <x:c r="I7" s="36" t="str"/>
      <x:c r="J7" s="36" t="str"/>
    </x:row>
    <x:row r="8">
      <x:c r="A8" s="36" t="str">
        <x:v>RUN-0004</x:v>
      </x:c>
      <x:c r="B8" s="39" t="n">
        <x:v>46197</x:v>
      </x:c>
      <x:c r="C8" s="36" t="str">
        <x:v>ユーザー報告</x:v>
      </x:c>
      <x:c r="D8" s="36" t="str">
        <x:v>スマホ</x:v>
      </x:c>
      <x:c r="E8" s="36" t="str">
        <x:v>US-030</x:v>
      </x:c>
      <x:c r="F8" s="36" t="str">
        <x:v>失敗</x:v>
      </x:c>
      <x:c r="G8" s="36" t="str">
        <x:v>ユーザー報告</x:v>
      </x:c>
      <x:c r="H8" s="36" t="str">
        <x:v>fullシートから戻れない</x:v>
      </x:c>
      <x:c r="I8" s="36" t="str"/>
      <x:c r="J8" s="36" t="str"/>
    </x:row>
    <x:row r="9">
      <x:c r="A9" s="36" t="str">
        <x:v>RUN-0005</x:v>
      </x:c>
      <x:c r="B9" s="39" t="n">
        <x:v>46197</x:v>
      </x:c>
      <x:c r="C9" s="36" t="str">
        <x:v>自動テスト</x:v>
      </x:c>
      <x:c r="D9" s="36" t="str">
        <x:v>Vitest/jsdom</x:v>
      </x:c>
      <x:c r="E9" s="36" t="str">
        <x:v>US-016, US-030, US-056</x:v>
      </x:c>
      <x:c r="F9" s="36" t="str">
        <x:v>合格</x:v>
      </x:c>
      <x:c r="G9" s="36" t="str">
        <x:v>npm test: 70/70</x:v>
      </x:c>
      <x:c r="H9" s="36" t="str">
        <x:v>公開版ログイン非表示とfull縮小操作を検証</x:v>
      </x:c>
      <x:c r="I9" s="36" t="str"/>
      <x:c r="J9" s="36" t="str">
        <x:v>合格</x:v>
      </x:c>
    </x:row>
    <x:row r="10">
      <x:c r="A10" s="36" t="str">
        <x:v>RUN-0006</x:v>
      </x:c>
      <x:c r="B10" s="39" t="n">
        <x:v>46197</x:v>
      </x:c>
      <x:c r="C10" s="36" t="str">
        <x:v>自動テスト</x:v>
      </x:c>
      <x:c r="D10" s="36" t="str">
        <x:v>Vitest/jsdom</x:v>
      </x:c>
      <x:c r="E10" s="36" t="str">
        <x:v>US-008</x:v>
      </x:c>
      <x:c r="F10" s="36" t="str">
        <x:v>合格</x:v>
      </x:c>
      <x:c r="G10" s="36" t="str">
        <x:v>npm test: 72/72</x:v>
      </x:c>
      <x:c r="H10" s="36" t="str">
        <x:v>高速OFF時exclude=motorway、高速ON時は指定なし</x:v>
      </x:c>
      <x:c r="I10" s="36" t="str"/>
      <x:c r="J10" s="36" t="str">
        <x:v>合格</x:v>
      </x:c>
    </x:row>
    <x:row r="11">
      <x:c r="A11" s="36" t="str">
        <x:v>RUN-0007</x:v>
      </x:c>
      <x:c r="B11" s="39" t="n">
        <x:v>46197</x:v>
      </x:c>
      <x:c r="C11" s="36" t="str">
        <x:v>本番ビルド</x:v>
      </x:c>
      <x:c r="D11" s="36" t="str">
        <x:v>Vite production</x:v>
      </x:c>
      <x:c r="E11" s="36" t="str">
        <x:v>US-008, US-016, US-030, US-051, US-056</x:v>
      </x:c>
      <x:c r="F11" s="36" t="str">
        <x:v>合格</x:v>
      </x:c>
      <x:c r="G11" s="36" t="str">
        <x:v>npm run build</x:v>
      </x:c>
      <x:c r="H11" s="36" t="str">
        <x:v>bundle size warningのみ</x:v>
      </x:c>
      <x:c r="I11" s="36" t="str"/>
      <x:c r="J11" s="36" t="str">
        <x:v>合格</x:v>
      </x:c>
    </x:row>
    <x:row r="12">
      <x:c r="A12" s="36" t="str">
        <x:v>RUN-0008</x:v>
      </x:c>
      <x:c r="B12" s="39" t="n">
        <x:v>46197</x:v>
      </x:c>
      <x:c r="C12" s="36" t="str">
        <x:v>実ブラウザ</x:v>
      </x:c>
      <x:c r="D12" s="36" t="str">
        <x:v>Codex in-app Browser</x:v>
      </x:c>
      <x:c r="E12" s="36" t="str">
        <x:v>US-001〜US-031</x:v>
      </x:c>
      <x:c r="F12" s="36" t="str">
        <x:v>ブロック</x:v>
      </x:c>
      <x:c r="G12" s="36" t="str">
        <x:v>node_repl接続</x:v>
      </x:c>
      <x:c r="H12" s="36" t="str">
        <x:v>Windows sandbox setup refresh error</x:v>
      </x:c>
      <x:c r="I12" s="36" t="str"/>
      <x:c r="J12" s="36" t="str">
        <x:v>未実施</x:v>
      </x:c>
    </x:row>
    <x:row r="13">
      <x:c r="A13" s="36" t="str">
        <x:v>RUN-0009</x:v>
      </x:c>
      <x:c r="B13" s="39" t="n">
        <x:v>46198</x:v>
      </x:c>
      <x:c r="C13" s="36" t="str">
        <x:v>自動テスト</x:v>
      </x:c>
      <x:c r="D13" s="36" t="str">
        <x:v>Vitest/jsdom</x:v>
      </x:c>
      <x:c r="E13" s="36" t="str">
        <x:v>全自動化対象</x:v>
      </x:c>
      <x:c r="F13" s="36" t="str">
        <x:v>合格</x:v>
      </x:c>
      <x:c r="G13" s="36" t="str">
        <x:v>npm test: 87/87</x:v>
      </x:c>
      <x:c r="H13" s="36" t="str">
        <x:v>11 files pass</x:v>
      </x:c>
      <x:c r="I13" s="36" t="str"/>
      <x:c r="J13" s="36" t="str">
        <x:v>合格</x:v>
      </x:c>
    </x:row>
    <x:row r="14">
      <x:c r="A14" s="36" t="str">
        <x:v>RUN-0010</x:v>
      </x:c>
      <x:c r="B14" s="39" t="n">
        <x:v>46198</x:v>
      </x:c>
      <x:c r="C14" s="36" t="str">
        <x:v>実サービス</x:v>
      </x:c>
      <x:c r="D14" s="36" t="str">
        <x:v>Valhalla public API</x:v>
      </x:c>
      <x:c r="E14" s="36" t="str">
        <x:v>US-008, US-024, US-044</x:v>
      </x:c>
      <x:c r="F14" s="36" t="str">
        <x:v>合格</x:v>
      </x:c>
      <x:c r="G14" s="36" t="str">
        <x:v>HTTP 200 / Code Ok / 206 coordinates / CORS *</x:v>
      </x:c>
      <x:c r="H14" s="36" t="str">
        <x:v>motorcycle・高速なしでhas_highway=falseを確認</x:v>
      </x:c>
      <x:c r="I14" s="36" t="str"/>
      <x:c r="J14" s="36" t="str">
        <x:v>合格</x:v>
      </x:c>
    </x:row>
    <x:row r="15">
      <x:c r="A15" s="36" t="str">
        <x:v>RUN-0011</x:v>
      </x:c>
      <x:c r="B15" s="39" t="n">
        <x:v>46198</x:v>
      </x:c>
      <x:c r="C15" s="36" t="str">
        <x:v>公開環境</x:v>
      </x:c>
      <x:c r="D15" s="36" t="str">
        <x:v>GitHub Pages HTTPS</x:v>
      </x:c>
      <x:c r="E15" s="36" t="str">
        <x:v>US-049</x:v>
      </x:c>
      <x:c r="F15" s="36" t="str">
        <x:v>合格</x:v>
      </x:c>
      <x:c r="G15" s="36" t="str">
        <x:v>Page 200 / manifest 200</x:v>
      </x:c>
      <x:c r="H15" s="36" t="str">
        <x:v>今回差分は未push</x:v>
      </x:c>
      <x:c r="I15" s="36" t="str"/>
      <x:c r="J15" s="36" t="str">
        <x:v>合格</x:v>
      </x:c>
    </x:row>
    <x:row r="16">
      <x:c r="A16" s="36" t="str">
        <x:v>RUN-0012</x:v>
      </x:c>
      <x:c r="B16" s="39" t="n">
        <x:v>46198</x:v>
      </x:c>
      <x:c r="C16" s="36" t="str">
        <x:v>サブエージェント</x:v>
      </x:c>
      <x:c r="D16" s="36" t="str">
        <x:v>gpt-5.5 reviewer</x:v>
      </x:c>
      <x:c r="E16" s="36" t="str">
        <x:v>全差分</x:v>
      </x:c>
      <x:c r="F16" s="36" t="str">
        <x:v>ブロック</x:v>
      </x:c>
      <x:c r="G16" s="36" t="str">
        <x:v>agent error</x:v>
      </x:c>
      <x:c r="H16" s="36" t="str">
        <x:v>Usage limit。本文未取得、代替セルフレビュー実施</x:v>
      </x:c>
      <x:c r="I16" s="36" t="str"/>
      <x:c r="J16" s="36" t="str">
        <x:v>未実施</x:v>
      </x:c>
    </x:row>
    <x:row r="17">
      <x:c r="A17" s="36" t="str">
        <x:v>RUN-0013</x:v>
      </x:c>
      <x:c r="B17" s="39" t="n">
        <x:v>46198</x:v>
      </x:c>
      <x:c r="C17" s="36" t="str">
        <x:v>サブエージェント</x:v>
      </x:c>
      <x:c r="D17" s="36" t="str">
        <x:v>gpt-5.4-mini reviewer</x:v>
      </x:c>
      <x:c r="E17" s="36" t="str">
        <x:v>全差分</x:v>
      </x:c>
      <x:c r="F17" s="36" t="str">
        <x:v>合格</x:v>
      </x:c>
      <x:c r="G17" s="36" t="str">
        <x:v>レビュー本文取得</x:v>
      </x:c>
      <x:c r="H17" s="36" t="str">
        <x:v>P2×3/P3×1を全反映</x:v>
      </x:c>
      <x:c r="I17" s="36" t="str"/>
      <x:c r="J17" s="36" t="str">
        <x:v>合格</x:v>
      </x:c>
    </x:row>
    <x:row r="18">
      <x:c r="A18" s="36" t="str">
        <x:v>RUN-0014</x:v>
      </x:c>
      <x:c r="B18" s="39" t="n">
        <x:v>46198</x:v>
      </x:c>
      <x:c r="C18" s="36" t="str">
        <x:v>実ブラウザ</x:v>
      </x:c>
      <x:c r="D18" s="36" t="str">
        <x:v>360x740/390x844/430x932</x:v>
      </x:c>
      <x:c r="E18" s="36" t="str">
        <x:v>US-030, US-031</x:v>
      </x:c>
      <x:c r="F18" s="36" t="str">
        <x:v>合格</x:v>
      </x:c>
      <x:c r="G18" s="36" t="str">
        <x:v>DOM/CSS rect/CUA drag</x:v>
      </x:c>
      <x:c r="H18" s="36" t="str">
        <x:v>横overflowなし、44px、full→mid、drag安定</x:v>
      </x:c>
      <x:c r="I18" s="36" t="str"/>
      <x:c r="J18" s="36" t="str">
        <x:v>合格</x:v>
      </x:c>
    </x:row>
    <x:row r="19">
      <x:c r="A19" s="36" t="str">
        <x:v>RUN-0015</x:v>
      </x:c>
      <x:c r="B19" s="39" t="n">
        <x:v>46198</x:v>
      </x:c>
      <x:c r="C19" s="36" t="str">
        <x:v>純静的＋実ブラウザ</x:v>
      </x:c>
      <x:c r="D19" s="36" t="str">
        <x:v>390x844/APIなし</x:v>
      </x:c>
      <x:c r="E19" s="36" t="str">
        <x:v>US-002, US-016, US-018, US-019, US-021〜US-029, US-051, US-056</x:v>
      </x:c>
      <x:c r="F19" s="36" t="str">
        <x:v>合格</x:v>
      </x:c>
      <x:c r="G19" s="36" t="str">
        <x:v>dist static 4174</x:v>
      </x:c>
      <x:c r="H19" s="36" t="str">
        <x:v>ログイン非表示、3候補、旅程/popup同期、旧状態破棄</x:v>
      </x:c>
      <x:c r="I19" s="36" t="str"/>
      <x:c r="J19" s="36" t="str">
        <x:v>合格</x:v>
      </x:c>
    </x:row>
    <x:row r="20">
      <x:c r="A20" s="36" t="str">
        <x:v>RUN-0016</x:v>
      </x:c>
      <x:c r="B20" s="39" t="n">
        <x:v>46198</x:v>
      </x:c>
      <x:c r="C20" s="36" t="str">
        <x:v>ローカルAPI実測</x:v>
      </x:c>
      <x:c r="D20" s="36" t="str">
        <x:v>福岡240分 OFF/ON</x:v>
      </x:c>
      <x:c r="E20" s="36" t="str">
        <x:v>US-008, US-018, US-024, US-044</x:v>
      </x:c>
      <x:c r="F20" s="36" t="str">
        <x:v>合格</x:v>
      </x:c>
      <x:c r="G20" s="36" t="str">
        <x:v>OFF 8.28s 3/3 Valhalla; ON 13.69s 2/3 Valhalla</x:v>
      </x:c>
      <x:c r="H20" s="36" t="str">
        <x:v>18秒budget内、fallback安全網確認</x:v>
      </x:c>
      <x:c r="I20" s="36" t="str"/>
      <x:c r="J20" s="36" t="str">
        <x:v>合格</x:v>
      </x:c>
    </x:row>
    <x:row r="21">
      <x:c r="A21" s="36" t="str">
        <x:v>RUN-0017</x:v>
      </x:c>
      <x:c r="B21" s="39" t="n">
        <x:v>46198</x:v>
      </x:c>
      <x:c r="C21" s="36" t="str">
        <x:v>実ブラウザ</x:v>
      </x:c>
      <x:c r="D21" s="36" t="str">
        <x:v>390x844 animation</x:v>
      </x:c>
      <x:c r="E21" s="36" t="str">
        <x:v>US-023, US-026</x:v>
      </x:c>
      <x:c r="F21" s="36" t="str">
        <x:v>合格</x:v>
      </x:c>
      <x:c r="G21" s="36" t="str">
        <x:v>active SVG path 40→176→530</x:v>
      </x:c>
      <x:c r="H21" s="36" t="str">
        <x:v>単調増加、巻き戻りなし</x:v>
      </x:c>
      <x:c r="I21" s="36" t="str"/>
      <x:c r="J21" s="36" t="str">
        <x:v>合格</x:v>
      </x:c>
    </x:row>
    <x:row r="22">
      <x:c r="A22" s="36" t="str">
        <x:v>RUN-0018</x:v>
      </x:c>
      <x:c r="B22" s="39" t="n">
        <x:v>46198</x:v>
      </x:c>
      <x:c r="C22" s="36" t="str">
        <x:v>依存監査</x:v>
      </x:c>
      <x:c r="D22" s="36" t="str">
        <x:v>npm audit --omit=dev</x:v>
      </x:c>
      <x:c r="E22" s="36" t="str">
        <x:v>US-050</x:v>
      </x:c>
      <x:c r="F22" s="36" t="str">
        <x:v>合格</x:v>
      </x:c>
      <x:c r="G22" s="36" t="str">
        <x:v>0 vulnerabilities</x:v>
      </x:c>
      <x:c r="H22" s="36" t="str"/>
      <x:c r="I22" s="36" t="str"/>
      <x:c r="J22" s="36" t="str">
        <x:v>合格</x:v>
      </x:c>
    </x:row>
    <x:row r="23">
      <x:c r="A23" s="36" t="str">
        <x:v>RUN-0019</x:v>
      </x:c>
      <x:c r="B23" s="39" t="n">
        <x:v>46198</x:v>
      </x:c>
      <x:c r="C23" s="36" t="str">
        <x:v>自動テスト/ビルド</x:v>
      </x:c>
      <x:c r="D23" s="36" t="str">
        <x:v>Vitest/Vite</x:v>
      </x:c>
      <x:c r="E23" s="36" t="str">
        <x:v>全自動化対象</x:v>
      </x:c>
      <x:c r="F23" s="36" t="str">
        <x:v>合格</x:v>
      </x:c>
      <x:c r="G23" s="36" t="str">
        <x:v>npm test 90/90; npm run build</x:v>
      </x:c>
      <x:c r="H23" s="36" t="str">
        <x:v>bundle size warningのみ、画像CLI node --check合格</x:v>
      </x:c>
      <x:c r="I23" s="36" t="str"/>
      <x:c r="J23" s="36" t="str">
        <x:v>合格</x:v>
      </x:c>
    </x:row>
    <x:row r="24">
      <x:c r="A24" s="36" t="str">
        <x:v>RUN-0020</x:v>
      </x:c>
      <x:c r="B24" s="39" t="n">
        <x:v>46199</x:v>
      </x:c>
      <x:c r="C24" s="36" t="str">
        <x:v>最終検証/代替レビュー</x:v>
      </x:c>
      <x:c r="D24" s="36" t="str">
        <x:v>Vitest/Vite/audit/git diff</x:v>
      </x:c>
      <x:c r="E24" s="36" t="str">
        <x:v>US-016, US-023, US-024, US-030, US-031, US-049, US-050, US-056</x:v>
      </x:c>
      <x:c r="F24" s="36" t="str">
        <x:v>合格</x:v>
      </x:c>
      <x:c r="G24" s="36" t="str">
        <x:v>git diff --check; npm audit --omit=dev; npm test 90/90; npm run build</x:v>
      </x:c>
      <x:c r="H24" s="36" t="str">
        <x:v>サブエージェント再レビューは使用制限で未完了。初回指摘4件の反映確認と代替セルフレビューを実施。bundle size warningのみ。</x:v>
      </x:c>
      <x:c r="I24" s="36" t="str"/>
      <x:c r="J24" s="36" t="str">
        <x:v>合格</x:v>
      </x:c>
    </x:row>
    <x:row r="25">
      <x:c r="A25" s="36"/>
      <x:c r="B25" s="39"/>
      <x:c r="C25" s="36"/>
      <x:c r="D25" s="36"/>
      <x:c r="E25" s="36"/>
      <x:c r="F25" s="36"/>
      <x:c r="G25" s="36"/>
      <x:c r="H25" s="36"/>
      <x:c r="I25" s="36"/>
      <x:c r="J25" s="36"/>
    </x:row>
    <x:row r="26">
      <x:c r="A26" s="36"/>
      <x:c r="B26" s="39"/>
      <x:c r="C26" s="36"/>
      <x:c r="D26" s="36"/>
      <x:c r="E26" s="36"/>
      <x:c r="F26" s="36"/>
      <x:c r="G26" s="36"/>
      <x:c r="H26" s="36"/>
      <x:c r="I26" s="36"/>
      <x:c r="J26" s="36"/>
    </x:row>
    <x:row r="27">
      <x:c r="A27" s="36"/>
      <x:c r="B27" s="39"/>
      <x:c r="C27" s="36"/>
      <x:c r="D27" s="36"/>
      <x:c r="E27" s="36"/>
      <x:c r="F27" s="36"/>
      <x:c r="G27" s="36"/>
      <x:c r="H27" s="36"/>
      <x:c r="I27" s="36"/>
      <x:c r="J27" s="36"/>
    </x:row>
    <x:row r="28">
      <x:c r="A28" s="36"/>
      <x:c r="B28" s="39"/>
      <x:c r="C28" s="36"/>
      <x:c r="D28" s="36"/>
      <x:c r="E28" s="36"/>
      <x:c r="F28" s="36"/>
      <x:c r="G28" s="36"/>
      <x:c r="H28" s="36"/>
      <x:c r="I28" s="36"/>
      <x:c r="J28" s="36"/>
    </x:row>
    <x:row r="29">
      <x:c r="A29" s="36"/>
      <x:c r="B29" s="39"/>
      <x:c r="C29" s="36"/>
      <x:c r="D29" s="36"/>
      <x:c r="E29" s="36"/>
      <x:c r="F29" s="36"/>
      <x:c r="G29" s="36"/>
      <x:c r="H29" s="36"/>
      <x:c r="I29" s="36"/>
      <x:c r="J29" s="36"/>
    </x:row>
    <x:row r="30">
      <x:c r="A30" s="36"/>
      <x:c r="B30" s="39"/>
      <x:c r="C30" s="36"/>
      <x:c r="D30" s="36"/>
      <x:c r="E30" s="36"/>
      <x:c r="F30" s="36"/>
      <x:c r="G30" s="36"/>
      <x:c r="H30" s="36"/>
      <x:c r="I30" s="36"/>
      <x:c r="J30" s="36"/>
    </x:row>
    <x:row r="31">
      <x:c r="A31" s="36"/>
      <x:c r="B31" s="39"/>
      <x:c r="C31" s="36"/>
      <x:c r="D31" s="36"/>
      <x:c r="E31" s="36"/>
      <x:c r="F31" s="36"/>
      <x:c r="G31" s="36"/>
      <x:c r="H31" s="36"/>
      <x:c r="I31" s="36"/>
      <x:c r="J31" s="36"/>
    </x:row>
    <x:row r="32">
      <x:c r="A32" s="36"/>
      <x:c r="B32" s="39"/>
      <x:c r="C32" s="36"/>
      <x:c r="D32" s="36"/>
      <x:c r="E32" s="36"/>
      <x:c r="F32" s="36"/>
      <x:c r="G32" s="36"/>
      <x:c r="H32" s="36"/>
      <x:c r="I32" s="36"/>
      <x:c r="J32" s="36"/>
    </x:row>
    <x:row r="33">
      <x:c r="A33" s="36"/>
      <x:c r="B33" s="39"/>
      <x:c r="C33" s="36"/>
      <x:c r="D33" s="36"/>
      <x:c r="E33" s="36"/>
      <x:c r="F33" s="36"/>
      <x:c r="G33" s="36"/>
      <x:c r="H33" s="36"/>
      <x:c r="I33" s="36"/>
      <x:c r="J33" s="36"/>
    </x:row>
    <x:row r="34">
      <x:c r="A34" s="36"/>
      <x:c r="B34" s="39"/>
      <x:c r="C34" s="36"/>
      <x:c r="D34" s="36"/>
      <x:c r="E34" s="36"/>
      <x:c r="F34" s="36"/>
      <x:c r="G34" s="36"/>
      <x:c r="H34" s="36"/>
      <x:c r="I34" s="36"/>
      <x:c r="J34" s="36"/>
    </x:row>
    <x:row r="35">
      <x:c r="A35" s="36"/>
      <x:c r="B35" s="39"/>
      <x:c r="C35" s="36"/>
      <x:c r="D35" s="36"/>
      <x:c r="E35" s="36"/>
      <x:c r="F35" s="36"/>
      <x:c r="G35" s="36"/>
      <x:c r="H35" s="36"/>
      <x:c r="I35" s="36"/>
      <x:c r="J35" s="36"/>
    </x:row>
    <x:row r="36">
      <x:c r="A36" s="36"/>
      <x:c r="B36" s="39"/>
      <x:c r="C36" s="36"/>
      <x:c r="D36" s="36"/>
      <x:c r="E36" s="36"/>
      <x:c r="F36" s="36"/>
      <x:c r="G36" s="36"/>
      <x:c r="H36" s="36"/>
      <x:c r="I36" s="36"/>
      <x:c r="J36" s="36"/>
    </x:row>
    <x:row r="37">
      <x:c r="A37" s="36"/>
      <x:c r="B37" s="39"/>
      <x:c r="C37" s="36"/>
      <x:c r="D37" s="36"/>
      <x:c r="E37" s="36"/>
      <x:c r="F37" s="36"/>
      <x:c r="G37" s="36"/>
      <x:c r="H37" s="36"/>
      <x:c r="I37" s="36"/>
      <x:c r="J37" s="36"/>
    </x:row>
    <x:row r="38">
      <x:c r="A38" s="36"/>
      <x:c r="B38" s="39"/>
      <x:c r="C38" s="36"/>
      <x:c r="D38" s="36"/>
      <x:c r="E38" s="36"/>
      <x:c r="F38" s="36"/>
      <x:c r="G38" s="36"/>
      <x:c r="H38" s="36"/>
      <x:c r="I38" s="36"/>
      <x:c r="J38" s="36"/>
    </x:row>
    <x:row r="39">
      <x:c r="A39" s="36"/>
      <x:c r="B39" s="39"/>
      <x:c r="C39" s="36"/>
      <x:c r="D39" s="36"/>
      <x:c r="E39" s="36"/>
      <x:c r="F39" s="36"/>
      <x:c r="G39" s="36"/>
      <x:c r="H39" s="36"/>
      <x:c r="I39" s="36"/>
      <x:c r="J39" s="36"/>
    </x:row>
    <x:row r="40">
      <x:c r="A40" s="36"/>
      <x:c r="B40" s="39"/>
      <x:c r="C40" s="36"/>
      <x:c r="D40" s="36"/>
      <x:c r="E40" s="36"/>
      <x:c r="F40" s="36"/>
      <x:c r="G40" s="36"/>
      <x:c r="H40" s="36"/>
      <x:c r="I40" s="36"/>
      <x:c r="J40" s="36"/>
    </x:row>
    <x:row r="41">
      <x:c r="A41" s="36"/>
      <x:c r="B41" s="39"/>
      <x:c r="C41" s="36"/>
      <x:c r="D41" s="36"/>
      <x:c r="E41" s="36"/>
      <x:c r="F41" s="36"/>
      <x:c r="G41" s="36"/>
      <x:c r="H41" s="36"/>
      <x:c r="I41" s="36"/>
      <x:c r="J41" s="36"/>
    </x:row>
    <x:row r="42">
      <x:c r="A42" s="36"/>
      <x:c r="B42" s="39"/>
      <x:c r="C42" s="36"/>
      <x:c r="D42" s="36"/>
      <x:c r="E42" s="36"/>
      <x:c r="F42" s="36"/>
      <x:c r="G42" s="36"/>
      <x:c r="H42" s="36"/>
      <x:c r="I42" s="36"/>
      <x:c r="J42" s="36"/>
    </x:row>
    <x:row r="43">
      <x:c r="A43" s="36"/>
      <x:c r="B43" s="39"/>
      <x:c r="C43" s="36"/>
      <x:c r="D43" s="36"/>
      <x:c r="E43" s="36"/>
      <x:c r="F43" s="36"/>
      <x:c r="G43" s="36"/>
      <x:c r="H43" s="36"/>
      <x:c r="I43" s="36"/>
      <x:c r="J43" s="36"/>
    </x:row>
    <x:row r="44">
      <x:c r="A44" s="36"/>
      <x:c r="B44" s="39"/>
      <x:c r="C44" s="36"/>
      <x:c r="D44" s="36"/>
      <x:c r="E44" s="36"/>
      <x:c r="F44" s="36"/>
      <x:c r="G44" s="36"/>
      <x:c r="H44" s="36"/>
      <x:c r="I44" s="36"/>
      <x:c r="J44" s="36"/>
    </x:row>
    <x:row r="45">
      <x:c r="A45" s="36"/>
      <x:c r="B45" s="39"/>
      <x:c r="C45" s="36"/>
      <x:c r="D45" s="36"/>
      <x:c r="E45" s="36"/>
      <x:c r="F45" s="36"/>
      <x:c r="G45" s="36"/>
      <x:c r="H45" s="36"/>
      <x:c r="I45" s="36"/>
      <x:c r="J45" s="36"/>
    </x:row>
    <x:row r="46">
      <x:c r="A46" s="36"/>
      <x:c r="B46" s="39"/>
      <x:c r="C46" s="36"/>
      <x:c r="D46" s="36"/>
      <x:c r="E46" s="36"/>
      <x:c r="F46" s="36"/>
      <x:c r="G46" s="36"/>
      <x:c r="H46" s="36"/>
      <x:c r="I46" s="36"/>
      <x:c r="J46" s="36"/>
    </x:row>
    <x:row r="47">
      <x:c r="A47" s="36"/>
      <x:c r="B47" s="39"/>
      <x:c r="C47" s="36"/>
      <x:c r="D47" s="36"/>
      <x:c r="E47" s="36"/>
      <x:c r="F47" s="36"/>
      <x:c r="G47" s="36"/>
      <x:c r="H47" s="36"/>
      <x:c r="I47" s="36"/>
      <x:c r="J47" s="36"/>
    </x:row>
    <x:row r="48">
      <x:c r="A48" s="36"/>
      <x:c r="B48" s="39"/>
      <x:c r="C48" s="36"/>
      <x:c r="D48" s="36"/>
      <x:c r="E48" s="36"/>
      <x:c r="F48" s="36"/>
      <x:c r="G48" s="36"/>
      <x:c r="H48" s="36"/>
      <x:c r="I48" s="36"/>
      <x:c r="J48" s="36"/>
    </x:row>
    <x:row r="49">
      <x:c r="A49" s="36"/>
      <x:c r="B49" s="39"/>
      <x:c r="C49" s="36"/>
      <x:c r="D49" s="36"/>
      <x:c r="E49" s="36"/>
      <x:c r="F49" s="36"/>
      <x:c r="G49" s="36"/>
      <x:c r="H49" s="36"/>
      <x:c r="I49" s="36"/>
      <x:c r="J49" s="36"/>
    </x:row>
    <x:row r="50">
      <x:c r="A50" s="36"/>
      <x:c r="B50" s="39"/>
      <x:c r="C50" s="36"/>
      <x:c r="D50" s="36"/>
      <x:c r="E50" s="36"/>
      <x:c r="F50" s="36"/>
      <x:c r="G50" s="36"/>
      <x:c r="H50" s="36"/>
      <x:c r="I50" s="36"/>
      <x:c r="J50" s="36"/>
    </x:row>
    <x:row r="51">
      <x:c r="A51" s="36"/>
      <x:c r="B51" s="39"/>
      <x:c r="C51" s="36"/>
      <x:c r="D51" s="36"/>
      <x:c r="E51" s="36"/>
      <x:c r="F51" s="36"/>
      <x:c r="G51" s="36"/>
      <x:c r="H51" s="36"/>
      <x:c r="I51" s="36"/>
      <x:c r="J51" s="36"/>
    </x:row>
    <x:row r="52">
      <x:c r="A52" s="36"/>
      <x:c r="B52" s="39"/>
      <x:c r="C52" s="36"/>
      <x:c r="D52" s="36"/>
      <x:c r="E52" s="36"/>
      <x:c r="F52" s="36"/>
      <x:c r="G52" s="36"/>
      <x:c r="H52" s="36"/>
      <x:c r="I52" s="36"/>
      <x:c r="J52" s="36"/>
    </x:row>
    <x:row r="53">
      <x:c r="A53" s="36"/>
      <x:c r="B53" s="39"/>
      <x:c r="C53" s="36"/>
      <x:c r="D53" s="36"/>
      <x:c r="E53" s="36"/>
      <x:c r="F53" s="36"/>
      <x:c r="G53" s="36"/>
      <x:c r="H53" s="36"/>
      <x:c r="I53" s="36"/>
      <x:c r="J53" s="36"/>
    </x:row>
    <x:row r="54">
      <x:c r="A54" s="36"/>
      <x:c r="B54" s="39"/>
      <x:c r="C54" s="36"/>
      <x:c r="D54" s="36"/>
      <x:c r="E54" s="36"/>
      <x:c r="F54" s="36"/>
      <x:c r="G54" s="36"/>
      <x:c r="H54" s="36"/>
      <x:c r="I54" s="36"/>
      <x:c r="J54" s="36"/>
    </x:row>
    <x:row r="55">
      <x:c r="A55" s="36"/>
      <x:c r="B55" s="39"/>
      <x:c r="C55" s="36"/>
      <x:c r="D55" s="36"/>
      <x:c r="E55" s="36"/>
      <x:c r="F55" s="36"/>
      <x:c r="G55" s="36"/>
      <x:c r="H55" s="36"/>
      <x:c r="I55" s="36"/>
      <x:c r="J55" s="36"/>
    </x:row>
    <x:row r="56">
      <x:c r="A56" s="36"/>
      <x:c r="B56" s="39"/>
      <x:c r="C56" s="36"/>
      <x:c r="D56" s="36"/>
      <x:c r="E56" s="36"/>
      <x:c r="F56" s="36"/>
      <x:c r="G56" s="36"/>
      <x:c r="H56" s="36"/>
      <x:c r="I56" s="36"/>
      <x:c r="J56" s="36"/>
    </x:row>
    <x:row r="57">
      <x:c r="A57" s="36"/>
      <x:c r="B57" s="39"/>
      <x:c r="C57" s="36"/>
      <x:c r="D57" s="36"/>
      <x:c r="E57" s="36"/>
      <x:c r="F57" s="36"/>
      <x:c r="G57" s="36"/>
      <x:c r="H57" s="36"/>
      <x:c r="I57" s="36"/>
      <x:c r="J57" s="36"/>
    </x:row>
    <x:row r="58">
      <x:c r="A58" s="36"/>
      <x:c r="B58" s="39"/>
      <x:c r="C58" s="36"/>
      <x:c r="D58" s="36"/>
      <x:c r="E58" s="36"/>
      <x:c r="F58" s="36"/>
      <x:c r="G58" s="36"/>
      <x:c r="H58" s="36"/>
      <x:c r="I58" s="36"/>
      <x:c r="J58" s="36"/>
    </x:row>
    <x:row r="59">
      <x:c r="A59" s="36"/>
      <x:c r="B59" s="39"/>
      <x:c r="C59" s="36"/>
      <x:c r="D59" s="36"/>
      <x:c r="E59" s="36"/>
      <x:c r="F59" s="36"/>
      <x:c r="G59" s="36"/>
      <x:c r="H59" s="36"/>
      <x:c r="I59" s="36"/>
      <x:c r="J59" s="36"/>
    </x:row>
    <x:row r="60">
      <x:c r="A60" s="36"/>
      <x:c r="B60" s="39"/>
      <x:c r="C60" s="36"/>
      <x:c r="D60" s="36"/>
      <x:c r="E60" s="36"/>
      <x:c r="F60" s="36"/>
      <x:c r="G60" s="36"/>
      <x:c r="H60" s="36"/>
      <x:c r="I60" s="36"/>
      <x:c r="J60" s="36"/>
    </x:row>
    <x:row r="61">
      <x:c r="A61" s="36"/>
      <x:c r="B61" s="39"/>
      <x:c r="C61" s="36"/>
      <x:c r="D61" s="36"/>
      <x:c r="E61" s="36"/>
      <x:c r="F61" s="36"/>
      <x:c r="G61" s="36"/>
      <x:c r="H61" s="36"/>
      <x:c r="I61" s="36"/>
      <x:c r="J61" s="36"/>
    </x:row>
    <x:row r="62">
      <x:c r="A62" s="36"/>
      <x:c r="B62" s="39"/>
      <x:c r="C62" s="36"/>
      <x:c r="D62" s="36"/>
      <x:c r="E62" s="36"/>
      <x:c r="F62" s="36"/>
      <x:c r="G62" s="36"/>
      <x:c r="H62" s="36"/>
      <x:c r="I62" s="36"/>
      <x:c r="J62" s="36"/>
    </x:row>
    <x:row r="63">
      <x:c r="A63" s="36"/>
      <x:c r="B63" s="39"/>
      <x:c r="C63" s="36"/>
      <x:c r="D63" s="36"/>
      <x:c r="E63" s="36"/>
      <x:c r="F63" s="36"/>
      <x:c r="G63" s="36"/>
      <x:c r="H63" s="36"/>
      <x:c r="I63" s="36"/>
      <x:c r="J63" s="36"/>
    </x:row>
    <x:row r="64">
      <x:c r="A64" s="36"/>
      <x:c r="B64" s="39"/>
      <x:c r="C64" s="36"/>
      <x:c r="D64" s="36"/>
      <x:c r="E64" s="36"/>
      <x:c r="F64" s="36"/>
      <x:c r="G64" s="36"/>
      <x:c r="H64" s="36"/>
      <x:c r="I64" s="36"/>
      <x:c r="J64" s="36"/>
    </x:row>
    <x:row r="65">
      <x:c r="A65" s="36"/>
      <x:c r="B65" s="39"/>
      <x:c r="C65" s="36"/>
      <x:c r="D65" s="36"/>
      <x:c r="E65" s="36"/>
      <x:c r="F65" s="36"/>
      <x:c r="G65" s="36"/>
      <x:c r="H65" s="36"/>
      <x:c r="I65" s="36"/>
      <x:c r="J65" s="36"/>
    </x:row>
    <x:row r="66">
      <x:c r="A66" s="36"/>
      <x:c r="B66" s="39"/>
      <x:c r="C66" s="36"/>
      <x:c r="D66" s="36"/>
      <x:c r="E66" s="36"/>
      <x:c r="F66" s="36"/>
      <x:c r="G66" s="36"/>
      <x:c r="H66" s="36"/>
      <x:c r="I66" s="36"/>
      <x:c r="J66" s="36"/>
    </x:row>
    <x:row r="67">
      <x:c r="A67" s="36"/>
      <x:c r="B67" s="39"/>
      <x:c r="C67" s="36"/>
      <x:c r="D67" s="36"/>
      <x:c r="E67" s="36"/>
      <x:c r="F67" s="36"/>
      <x:c r="G67" s="36"/>
      <x:c r="H67" s="36"/>
      <x:c r="I67" s="36"/>
      <x:c r="J67" s="36"/>
    </x:row>
    <x:row r="68">
      <x:c r="A68" s="36"/>
      <x:c r="B68" s="39"/>
      <x:c r="C68" s="36"/>
      <x:c r="D68" s="36"/>
      <x:c r="E68" s="36"/>
      <x:c r="F68" s="36"/>
      <x:c r="G68" s="36"/>
      <x:c r="H68" s="36"/>
      <x:c r="I68" s="36"/>
      <x:c r="J68" s="36"/>
    </x:row>
    <x:row r="69">
      <x:c r="A69" s="36"/>
      <x:c r="B69" s="39"/>
      <x:c r="C69" s="36"/>
      <x:c r="D69" s="36"/>
      <x:c r="E69" s="36"/>
      <x:c r="F69" s="36"/>
      <x:c r="G69" s="36"/>
      <x:c r="H69" s="36"/>
      <x:c r="I69" s="36"/>
      <x:c r="J69" s="36"/>
    </x:row>
    <x:row r="70">
      <x:c r="A70" s="36"/>
      <x:c r="B70" s="39"/>
      <x:c r="C70" s="36"/>
      <x:c r="D70" s="36"/>
      <x:c r="E70" s="36"/>
      <x:c r="F70" s="36"/>
      <x:c r="G70" s="36"/>
      <x:c r="H70" s="36"/>
      <x:c r="I70" s="36"/>
      <x:c r="J70" s="36"/>
    </x:row>
    <x:row r="71">
      <x:c r="A71" s="36"/>
      <x:c r="B71" s="39"/>
      <x:c r="C71" s="36"/>
      <x:c r="D71" s="36"/>
      <x:c r="E71" s="36"/>
      <x:c r="F71" s="36"/>
      <x:c r="G71" s="36"/>
      <x:c r="H71" s="36"/>
      <x:c r="I71" s="36"/>
      <x:c r="J71" s="36"/>
    </x:row>
    <x:row r="72">
      <x:c r="A72" s="36"/>
      <x:c r="B72" s="39"/>
      <x:c r="C72" s="36"/>
      <x:c r="D72" s="36"/>
      <x:c r="E72" s="36"/>
      <x:c r="F72" s="36"/>
      <x:c r="G72" s="36"/>
      <x:c r="H72" s="36"/>
      <x:c r="I72" s="36"/>
      <x:c r="J72" s="36"/>
    </x:row>
    <x:row r="73">
      <x:c r="A73" s="36"/>
      <x:c r="B73" s="39"/>
      <x:c r="C73" s="36"/>
      <x:c r="D73" s="36"/>
      <x:c r="E73" s="36"/>
      <x:c r="F73" s="36"/>
      <x:c r="G73" s="36"/>
      <x:c r="H73" s="36"/>
      <x:c r="I73" s="36"/>
      <x:c r="J73" s="36"/>
    </x:row>
    <x:row r="74">
      <x:c r="A74" s="36"/>
      <x:c r="B74" s="39"/>
      <x:c r="C74" s="36"/>
      <x:c r="D74" s="36"/>
      <x:c r="E74" s="36"/>
      <x:c r="F74" s="36"/>
      <x:c r="G74" s="36"/>
      <x:c r="H74" s="36"/>
      <x:c r="I74" s="36"/>
      <x:c r="J74" s="36"/>
    </x:row>
    <x:row r="75">
      <x:c r="A75" s="36"/>
      <x:c r="B75" s="39"/>
      <x:c r="C75" s="36"/>
      <x:c r="D75" s="36"/>
      <x:c r="E75" s="36"/>
      <x:c r="F75" s="36"/>
      <x:c r="G75" s="36"/>
      <x:c r="H75" s="36"/>
      <x:c r="I75" s="36"/>
      <x:c r="J75" s="36"/>
    </x:row>
    <x:row r="76">
      <x:c r="A76" s="36"/>
      <x:c r="B76" s="39"/>
      <x:c r="C76" s="36"/>
      <x:c r="D76" s="36"/>
      <x:c r="E76" s="36"/>
      <x:c r="F76" s="36"/>
      <x:c r="G76" s="36"/>
      <x:c r="H76" s="36"/>
      <x:c r="I76" s="36"/>
      <x:c r="J76" s="36"/>
    </x:row>
    <x:row r="77">
      <x:c r="A77" s="36"/>
      <x:c r="B77" s="39"/>
      <x:c r="C77" s="36"/>
      <x:c r="D77" s="36"/>
      <x:c r="E77" s="36"/>
      <x:c r="F77" s="36"/>
      <x:c r="G77" s="36"/>
      <x:c r="H77" s="36"/>
      <x:c r="I77" s="36"/>
      <x:c r="J77" s="36"/>
    </x:row>
    <x:row r="78">
      <x:c r="A78" s="36"/>
      <x:c r="B78" s="39"/>
      <x:c r="C78" s="36"/>
      <x:c r="D78" s="36"/>
      <x:c r="E78" s="36"/>
      <x:c r="F78" s="36"/>
      <x:c r="G78" s="36"/>
      <x:c r="H78" s="36"/>
      <x:c r="I78" s="36"/>
      <x:c r="J78" s="36"/>
    </x:row>
    <x:row r="79">
      <x:c r="A79" s="36"/>
      <x:c r="B79" s="39"/>
      <x:c r="C79" s="36"/>
      <x:c r="D79" s="36"/>
      <x:c r="E79" s="36"/>
      <x:c r="F79" s="36"/>
      <x:c r="G79" s="36"/>
      <x:c r="H79" s="36"/>
      <x:c r="I79" s="36"/>
      <x:c r="J79" s="36"/>
    </x:row>
    <x:row r="80">
      <x:c r="A80" s="36"/>
      <x:c r="B80" s="39"/>
      <x:c r="C80" s="36"/>
      <x:c r="D80" s="36"/>
      <x:c r="E80" s="36"/>
      <x:c r="F80" s="36"/>
      <x:c r="G80" s="36"/>
      <x:c r="H80" s="36"/>
      <x:c r="I80" s="36"/>
      <x:c r="J80" s="36"/>
    </x:row>
    <x:row r="81">
      <x:c r="A81" s="36"/>
      <x:c r="B81" s="39"/>
      <x:c r="C81" s="36"/>
      <x:c r="D81" s="36"/>
      <x:c r="E81" s="36"/>
      <x:c r="F81" s="36"/>
      <x:c r="G81" s="36"/>
      <x:c r="H81" s="36"/>
      <x:c r="I81" s="36"/>
      <x:c r="J81" s="36"/>
    </x:row>
    <x:row r="82">
      <x:c r="A82" s="36"/>
      <x:c r="B82" s="39"/>
      <x:c r="C82" s="36"/>
      <x:c r="D82" s="36"/>
      <x:c r="E82" s="36"/>
      <x:c r="F82" s="36"/>
      <x:c r="G82" s="36"/>
      <x:c r="H82" s="36"/>
      <x:c r="I82" s="36"/>
      <x:c r="J82" s="36"/>
    </x:row>
    <x:row r="83">
      <x:c r="A83" s="36"/>
      <x:c r="B83" s="39"/>
      <x:c r="C83" s="36"/>
      <x:c r="D83" s="36"/>
      <x:c r="E83" s="36"/>
      <x:c r="F83" s="36"/>
      <x:c r="G83" s="36"/>
      <x:c r="H83" s="36"/>
      <x:c r="I83" s="36"/>
      <x:c r="J83" s="36"/>
    </x:row>
    <x:row r="84">
      <x:c r="A84" s="36"/>
      <x:c r="B84" s="39"/>
      <x:c r="C84" s="36"/>
      <x:c r="D84" s="36"/>
      <x:c r="E84" s="36"/>
      <x:c r="F84" s="36"/>
      <x:c r="G84" s="36"/>
      <x:c r="H84" s="36"/>
      <x:c r="I84" s="36"/>
      <x:c r="J84" s="36"/>
    </x:row>
    <x:row r="85">
      <x:c r="A85" s="36"/>
      <x:c r="B85" s="39"/>
      <x:c r="C85" s="36"/>
      <x:c r="D85" s="36"/>
      <x:c r="E85" s="36"/>
      <x:c r="F85" s="36"/>
      <x:c r="G85" s="36"/>
      <x:c r="H85" s="36"/>
      <x:c r="I85" s="36"/>
      <x:c r="J85" s="36"/>
    </x:row>
    <x:row r="86">
      <x:c r="A86" s="36"/>
      <x:c r="B86" s="39"/>
      <x:c r="C86" s="36"/>
      <x:c r="D86" s="36"/>
      <x:c r="E86" s="36"/>
      <x:c r="F86" s="36"/>
      <x:c r="G86" s="36"/>
      <x:c r="H86" s="36"/>
      <x:c r="I86" s="36"/>
      <x:c r="J86" s="36"/>
    </x:row>
    <x:row r="87">
      <x:c r="A87" s="36"/>
      <x:c r="B87" s="39"/>
      <x:c r="C87" s="36"/>
      <x:c r="D87" s="36"/>
      <x:c r="E87" s="36"/>
      <x:c r="F87" s="36"/>
      <x:c r="G87" s="36"/>
      <x:c r="H87" s="36"/>
      <x:c r="I87" s="36"/>
      <x:c r="J87" s="36"/>
    </x:row>
    <x:row r="88">
      <x:c r="A88" s="36"/>
      <x:c r="B88" s="39"/>
      <x:c r="C88" s="36"/>
      <x:c r="D88" s="36"/>
      <x:c r="E88" s="36"/>
      <x:c r="F88" s="36"/>
      <x:c r="G88" s="36"/>
      <x:c r="H88" s="36"/>
      <x:c r="I88" s="36"/>
      <x:c r="J88" s="36"/>
    </x:row>
    <x:row r="89">
      <x:c r="A89" s="36"/>
      <x:c r="B89" s="39"/>
      <x:c r="C89" s="36"/>
      <x:c r="D89" s="36"/>
      <x:c r="E89" s="36"/>
      <x:c r="F89" s="36"/>
      <x:c r="G89" s="36"/>
      <x:c r="H89" s="36"/>
      <x:c r="I89" s="36"/>
      <x:c r="J89" s="36"/>
    </x:row>
    <x:row r="90">
      <x:c r="A90" s="36"/>
      <x:c r="B90" s="39"/>
      <x:c r="C90" s="36"/>
      <x:c r="D90" s="36"/>
      <x:c r="E90" s="36"/>
      <x:c r="F90" s="36"/>
      <x:c r="G90" s="36"/>
      <x:c r="H90" s="36"/>
      <x:c r="I90" s="36"/>
      <x:c r="J90" s="36"/>
    </x:row>
    <x:row r="91">
      <x:c r="A91" s="36"/>
      <x:c r="B91" s="39"/>
      <x:c r="C91" s="36"/>
      <x:c r="D91" s="36"/>
      <x:c r="E91" s="36"/>
      <x:c r="F91" s="36"/>
      <x:c r="G91" s="36"/>
      <x:c r="H91" s="36"/>
      <x:c r="I91" s="36"/>
      <x:c r="J91" s="36"/>
    </x:row>
    <x:row r="92">
      <x:c r="A92" s="36"/>
      <x:c r="B92" s="39"/>
      <x:c r="C92" s="36"/>
      <x:c r="D92" s="36"/>
      <x:c r="E92" s="36"/>
      <x:c r="F92" s="36"/>
      <x:c r="G92" s="36"/>
      <x:c r="H92" s="36"/>
      <x:c r="I92" s="36"/>
      <x:c r="J92" s="36"/>
    </x:row>
    <x:row r="93">
      <x:c r="A93" s="36"/>
      <x:c r="B93" s="39"/>
      <x:c r="C93" s="36"/>
      <x:c r="D93" s="36"/>
      <x:c r="E93" s="36"/>
      <x:c r="F93" s="36"/>
      <x:c r="G93" s="36"/>
      <x:c r="H93" s="36"/>
      <x:c r="I93" s="36"/>
      <x:c r="J93" s="36"/>
    </x:row>
    <x:row r="94">
      <x:c r="A94" s="36"/>
      <x:c r="B94" s="39"/>
      <x:c r="C94" s="36"/>
      <x:c r="D94" s="36"/>
      <x:c r="E94" s="36"/>
      <x:c r="F94" s="36"/>
      <x:c r="G94" s="36"/>
      <x:c r="H94" s="36"/>
      <x:c r="I94" s="36"/>
      <x:c r="J94" s="36"/>
    </x:row>
    <x:row r="95">
      <x:c r="A95" s="36"/>
      <x:c r="B95" s="39"/>
      <x:c r="C95" s="36"/>
      <x:c r="D95" s="36"/>
      <x:c r="E95" s="36"/>
      <x:c r="F95" s="36"/>
      <x:c r="G95" s="36"/>
      <x:c r="H95" s="36"/>
      <x:c r="I95" s="36"/>
      <x:c r="J95" s="36"/>
    </x:row>
    <x:row r="96">
      <x:c r="A96" s="36"/>
      <x:c r="B96" s="39"/>
      <x:c r="C96" s="36"/>
      <x:c r="D96" s="36"/>
      <x:c r="E96" s="36"/>
      <x:c r="F96" s="36"/>
      <x:c r="G96" s="36"/>
      <x:c r="H96" s="36"/>
      <x:c r="I96" s="36"/>
      <x:c r="J96" s="36"/>
    </x:row>
    <x:row r="97">
      <x:c r="A97" s="36"/>
      <x:c r="B97" s="39"/>
      <x:c r="C97" s="36"/>
      <x:c r="D97" s="36"/>
      <x:c r="E97" s="36"/>
      <x:c r="F97" s="36"/>
      <x:c r="G97" s="36"/>
      <x:c r="H97" s="36"/>
      <x:c r="I97" s="36"/>
      <x:c r="J97" s="36"/>
    </x:row>
    <x:row r="98">
      <x:c r="A98" s="36"/>
      <x:c r="B98" s="39"/>
      <x:c r="C98" s="36"/>
      <x:c r="D98" s="36"/>
      <x:c r="E98" s="36"/>
      <x:c r="F98" s="36"/>
      <x:c r="G98" s="36"/>
      <x:c r="H98" s="36"/>
      <x:c r="I98" s="36"/>
      <x:c r="J98" s="36"/>
    </x:row>
    <x:row r="99">
      <x:c r="A99" s="36"/>
      <x:c r="B99" s="39"/>
      <x:c r="C99" s="36"/>
      <x:c r="D99" s="36"/>
      <x:c r="E99" s="36"/>
      <x:c r="F99" s="36"/>
      <x:c r="G99" s="36"/>
      <x:c r="H99" s="36"/>
      <x:c r="I99" s="36"/>
      <x:c r="J99" s="36"/>
    </x:row>
    <x:row r="100">
      <x:c r="A100" s="36"/>
      <x:c r="B100" s="39"/>
      <x:c r="C100" s="36"/>
      <x:c r="D100" s="36"/>
      <x:c r="E100" s="36"/>
      <x:c r="F100" s="36"/>
      <x:c r="G100" s="36"/>
      <x:c r="H100" s="36"/>
      <x:c r="I100" s="36"/>
      <x:c r="J100" s="36"/>
    </x:row>
  </x:sheetData>
  <x:mergeCells>
    <x:mergeCell ref="A1:J2"/>
  </x:mergeCells>
  <x:dataValidations count="2">
    <x:dataValidation type="list" sqref="F5:F100">
      <x:formula1>"未実施,合格,失敗,ブロック"</x:formula1>
    </x:dataValidation>
    <x:dataValidation type="list" sqref="J5:J100">
      <x:formula1>"未実施,合格,失敗,対象外"</x:formula1>
    </x:dataValidation>
  </x:dataValidations>
  <x:pageMargins left="0.7" right="0.7" top="0.75" bottom="0.75" header="0.3" footer="0.3"/>
  <x:tableParts count="1">
    <x:tablePart xmlns:r="http://schemas.openxmlformats.org/officeDocument/2006/relationships" r:id="Ra3d1dcd4b202463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0" hidden="0" customWidth="1"/>
    <x:col min="4" max="4" width="16" hidden="0" customWidth="1"/>
    <x:col min="5" max="5" width="36" hidden="0" customWidth="1"/>
    <x:col min="6" max="6" width="38" hidden="0" customWidth="1"/>
    <x:col min="7" max="7" width="38" hidden="0" customWidth="1"/>
    <x:col min="8" max="8" width="38" hidden="0" customWidth="1"/>
    <x:col min="9" max="9" width="14" hidden="0" customWidth="1"/>
    <x:col min="10" max="10" width="16" hidden="0" customWidth="1"/>
    <x:col min="11" max="11" width="16" hidden="0" customWidth="1"/>
  </x:cols>
  <x:sheetData>
    <x:row r="1">
      <x:c r="A1" s="41" t="str">
        <x:v>Defects - 不具合台帳</x:v>
      </x:c>
      <x:c r="B1" s="41"/>
      <x:c r="C1" s="41"/>
      <x:c r="D1" s="41"/>
      <x:c r="E1" s="41"/>
      <x:c r="F1" s="41"/>
      <x:c r="G1" s="41"/>
      <x:c r="H1" s="41"/>
      <x:c r="I1" s="41"/>
      <x:c r="J1" s="41"/>
      <x:c r="K1" s="41"/>
    </x:row>
    <x:row r="2">
      <x:c r="A2" s="41"/>
      <x:c r="B2" s="41"/>
      <x:c r="C2" s="41"/>
      <x:c r="D2" s="41"/>
      <x:c r="E2" s="41"/>
      <x:c r="F2" s="41"/>
      <x:c r="G2" s="41"/>
      <x:c r="H2" s="41"/>
      <x:c r="I2" s="41"/>
      <x:c r="J2" s="41"/>
      <x:c r="K2" s="41"/>
    </x:row>
    <x:row r="4">
      <x:c r="A4" s="42" t="str">
        <x:v>Defect ID</x:v>
      </x:c>
      <x:c r="B4" s="42" t="str">
        <x:v>Story ID</x:v>
      </x:c>
      <x:c r="C4" s="42" t="str">
        <x:v>重要度</x:v>
      </x:c>
      <x:c r="D4" s="42" t="str">
        <x:v>種別</x:v>
      </x:c>
      <x:c r="E4" s="42" t="str">
        <x:v>概要</x:v>
      </x:c>
      <x:c r="F4" s="42" t="str">
        <x:v>再現手順</x:v>
      </x:c>
      <x:c r="G4" s="42" t="str">
        <x:v>期待結果</x:v>
      </x:c>
      <x:c r="H4" s="42" t="str">
        <x:v>実際結果</x:v>
      </x:c>
      <x:c r="I4" s="42" t="str">
        <x:v>状態</x:v>
      </x:c>
      <x:c r="J4" s="42" t="str">
        <x:v>修正Commit</x:v>
      </x:c>
      <x:c r="K4" s="42" t="str">
        <x:v>再テストRun</x:v>
      </x:c>
    </x:row>
    <x:row r="5" ht="60" customHeight="1">
      <x:c r="A5" s="36" t="str">
        <x:v>D-001</x:v>
      </x:c>
      <x:c r="B5" s="36" t="str">
        <x:v>US-016, US-056</x:v>
      </x:c>
      <x:c r="C5" s="36" t="str">
        <x:v>高</x:v>
      </x:c>
      <x:c r="D5" s="36" t="str">
        <x:v>UX/アーキテクチャ</x:v>
      </x:c>
      <x:c r="E5" s="36" t="str">
        <x:v>PagesでChatGPTログインが表示されるがapp-serverがない</x:v>
      </x:c>
      <x:c r="F5" s="36" t="str">
        <x:v>スマホPages→こだわり条件→提案方法→ログイン</x:v>
      </x:c>
      <x:c r="G5" s="36" t="str">
        <x:v>Pagesではログインを隠し登録データ版と明示、または安全な専用バックエンドを提供</x:v>
      </x:c>
      <x:c r="H5" s="36" t="str">
        <x:v>通信失敗しログイン不可</x:v>
      </x:c>
      <x:c r="I5" s="36" t="str">
        <x:v>再テスト合格</x:v>
      </x:c>
      <x:c r="J5" s="36" t="str"/>
      <x:c r="K5" s="36" t="str">
        <x:v>RUN-0005</x:v>
      </x:c>
    </x:row>
    <x:row r="6" ht="60" customHeight="1">
      <x:c r="A6" s="36" t="str">
        <x:v>D-002</x:v>
      </x:c>
      <x:c r="B6" s="36" t="str">
        <x:v>US-030</x:v>
      </x:c>
      <x:c r="C6" s="36" t="str">
        <x:v>高</x:v>
      </x:c>
      <x:c r="D6" s="36" t="str">
        <x:v>UX</x:v>
      </x:c>
      <x:c r="E6" s="36" t="str">
        <x:v>全画面ボトムシートをmidへ戻す操作が発見できない/効かない</x:v>
      </x:c>
      <x:c r="F6" s="36" t="str">
        <x:v>スマホでシートを上へドラッグしてfullにする</x:v>
      </x:c>
      <x:c r="G6" s="36" t="str">
        <x:v>常に見える縮小ボタンまたは明確なハンドルでmidへ戻る</x:v>
      </x:c>
      <x:c r="H6" s="36" t="str">
        <x:v>ユーザー報告: 戻す手段がない</x:v>
      </x:c>
      <x:c r="I6" s="36" t="str">
        <x:v>再テスト合格</x:v>
      </x:c>
      <x:c r="J6" s="36" t="str"/>
      <x:c r="K6" s="36" t="str">
        <x:v>RUN-0005</x:v>
      </x:c>
    </x:row>
    <x:row r="7" ht="60" customHeight="1">
      <x:c r="A7" s="36" t="str">
        <x:v>D-003</x:v>
      </x:c>
      <x:c r="B7" s="36" t="str">
        <x:v>US-008</x:v>
      </x:c>
      <x:c r="C7" s="36" t="str">
        <x:v>高</x:v>
      </x:c>
      <x:c r="D7" s="36" t="str">
        <x:v>ロジック</x:v>
      </x:c>
      <x:c r="E7" s="36" t="str">
        <x:v>高速あり/なしが道路選択へ反映されない</x:v>
      </x:c>
      <x:c r="F7" s="36" t="str">
        <x:v>高速設定を切替えて同条件で生成</x:v>
      </x:c>
      <x:c r="G7" s="36" t="str">
        <x:v>高速なしは高速道路回避、高速ありは利用許可が実経路へ反映</x:v>
      </x:c>
      <x:c r="H7" s="36" t="str">
        <x:v>旧OSRMは常にdrivingで除外未対応</x:v>
      </x:c>
      <x:c r="I7" s="36" t="str">
        <x:v>再テスト合格</x:v>
      </x:c>
      <x:c r="J7" s="36" t="str"/>
      <x:c r="K7" s="36" t="str">
        <x:v>RUN-0010</x:v>
      </x:c>
    </x:row>
    <x:row r="8" ht="60" customHeight="1">
      <x:c r="A8" s="36" t="str">
        <x:v>D-004</x:v>
      </x:c>
      <x:c r="B8" s="36" t="str">
        <x:v>US-051</x:v>
      </x:c>
      <x:c r="C8" s="36" t="str">
        <x:v>中</x:v>
      </x:c>
      <x:c r="D8" s="36" t="str">
        <x:v>UX/状態</x:v>
      </x:c>
      <x:c r="E8" s="36" t="str">
        <x:v>条件変更後も古いプランが残る</x:v>
      </x:c>
      <x:c r="F8" s="36" t="str">
        <x:v>プラン生成→出発地や条件を変更</x:v>
      </x:c>
      <x:c r="G8" s="36" t="str">
        <x:v>旧結果をクリアまたは古い旨を表示</x:v>
      </x:c>
      <x:c r="H8" s="36" t="str">
        <x:v>既存planResponseが残る</x:v>
      </x:c>
      <x:c r="I8" s="36" t="str">
        <x:v>再テスト合格</x:v>
      </x:c>
      <x:c r="J8" s="36" t="str"/>
      <x:c r="K8" s="36" t="str">
        <x:v>RUN-0015</x:v>
      </x:c>
    </x:row>
    <x:row r="9" ht="60" customHeight="1">
      <x:c r="A9" s="36" t="str">
        <x:v>D-005</x:v>
      </x:c>
      <x:c r="B9" s="36" t="str">
        <x:v>US-030</x:v>
      </x:c>
      <x:c r="C9" s="36" t="str">
        <x:v>高</x:v>
      </x:c>
      <x:c r="D9" s="36" t="str">
        <x:v>UX/操作</x:v>
      </x:c>
      <x:c r="E9" s="36" t="str">
        <x:v>シートdrag後のclickでfullへ戻る可能性</x:v>
      </x:c>
      <x:c r="F9" s="36" t="str">
        <x:v>fullから下へdrag</x:v>
      </x:c>
      <x:c r="G9" s="36" t="str">
        <x:v>drag後のsynthetic clickを抑止しmidを維持</x:v>
      </x:c>
      <x:c r="H9" s="36" t="str">
        <x:v>pointer dragとclickが同一buttonで未抑止</x:v>
      </x:c>
      <x:c r="I9" s="36" t="str">
        <x:v>再テスト合格</x:v>
      </x:c>
      <x:c r="J9" s="36" t="str"/>
      <x:c r="K9" s="36" t="str">
        <x:v>RUN-0014</x:v>
      </x:c>
    </x:row>
    <x:row r="10" ht="60" customHeight="1">
      <x:c r="A10" s="36" t="str">
        <x:v>D-006</x:v>
      </x:c>
      <x:c r="B10" s="36" t="str">
        <x:v>US-023, US-029</x:v>
      </x:c>
      <x:c r="C10" s="36" t="str">
        <x:v>中</x:v>
      </x:c>
      <x:c r="D10" s="36" t="str">
        <x:v>UX/地図</x:v>
      </x:c>
      <x:c r="E10" s="36" t="str">
        <x:v>sheetMode変更時に地図fit paddingが更新されない</x:v>
      </x:c>
      <x:c r="F10" s="36" t="str">
        <x:v>候補表示後にmid/full切替</x:v>
      </x:c>
      <x:c r="G10" s="36" t="str">
        <x:v>各modeの可視領域へrouteを再fit</x:v>
      </x:c>
      <x:c r="H10" s="36" t="str">
        <x:v>planKeyのみで再fit抑止</x:v>
      </x:c>
      <x:c r="I10" s="36" t="str">
        <x:v>再テスト合格</x:v>
      </x:c>
      <x:c r="J10" s="36" t="str"/>
      <x:c r="K10" s="36" t="str">
        <x:v>RUN-0014</x:v>
      </x:c>
    </x:row>
    <x:row r="11" ht="60" customHeight="1">
      <x:c r="A11" s="36" t="str">
        <x:v>D-007</x:v>
      </x:c>
      <x:c r="B11" s="36" t="str">
        <x:v>US-018, US-024</x:v>
      </x:c>
      <x:c r="C11" s="36" t="str">
        <x:v>高</x:v>
      </x:c>
      <x:c r="D11" s="36" t="str">
        <x:v>性能/ロジック</x:v>
      </x:c>
      <x:c r="E11" s="36" t="str">
        <x:v>ローカルAPI生成が36秒超・全案簡易ルート</x:v>
      </x:c>
      <x:c r="F11" s="36" t="str">
        <x:v>福岡240分/高速OFF/登録データ</x:v>
      </x:c>
      <x:c r="G11" s="36" t="str">
        <x:v>18秒以内、実道路が得られる案はValhalla形状</x:v>
      </x:c>
      <x:c r="H11" s="36" t="str">
        <x:v>API側予算なし・遠いanchorと帰路候補で予算浪費</x:v>
      </x:c>
      <x:c r="I11" s="36" t="str">
        <x:v>再テスト合格</x:v>
      </x:c>
      <x:c r="J11" s="36" t="str"/>
      <x:c r="K11" s="36" t="str">
        <x:v>RUN-0016</x:v>
      </x:c>
    </x:row>
    <x:row r="12" ht="60" customHeight="1">
      <x:c r="A12" s="36" t="str">
        <x:v>D-008</x:v>
      </x:c>
      <x:c r="B12" s="36" t="str">
        <x:v>US-031</x:v>
      </x:c>
      <x:c r="C12" s="36" t="str">
        <x:v>中</x:v>
      </x:c>
      <x:c r="D12" s="36" t="str">
        <x:v>UX/アクセシビリティ</x:v>
      </x:c>
      <x:c r="E12" s="36" t="str">
        <x:v>現在地・地図ボタンが38px</x:v>
      </x:c>
      <x:c r="F12" s="36" t="str">
        <x:v>360px初期画面</x:v>
      </x:c>
      <x:c r="G12" s="36" t="str">
        <x:v>表示中buttonは44px以上</x:v>
      </x:c>
      <x:c r="H12" s="36" t="str">
        <x:v>locate-chip min-height 38px</x:v>
      </x:c>
      <x:c r="I12" s="36" t="str">
        <x:v>再テスト合格</x:v>
      </x:c>
      <x:c r="J12" s="36" t="str"/>
      <x:c r="K12" s="36" t="str">
        <x:v>RUN-0014</x:v>
      </x:c>
    </x:row>
    <x:row r="13" ht="60" customHeight="1">
      <x:c r="A13" s="36" t="str">
        <x:v>D-009</x:v>
      </x:c>
      <x:c r="B13" s="36" t="str">
        <x:v>US-016, US-056</x:v>
      </x:c>
      <x:c r="C13" s="36" t="str">
        <x:v>低</x:v>
      </x:c>
      <x:c r="D13" s="36" t="str">
        <x:v>UX文言</x:v>
      </x:c>
      <x:c r="E13" s="36" t="str">
        <x:v>純静的版で高精度提案失敗と誤表示</x:v>
      </x:c>
      <x:c r="F13" s="36" t="str">
        <x:v>Pagesで登録データ生成</x:v>
      </x:c>
      <x:c r="G13" s="36" t="str">
        <x:v>高精度を試していない時は診断を表示しない</x:v>
      </x:c>
      <x:c r="H13" s="36" t="str">
        <x:v>fallbackReasonだけで一律診断</x:v>
      </x:c>
      <x:c r="I13" s="36" t="str">
        <x:v>再テスト合格</x:v>
      </x:c>
      <x:c r="J13" s="36" t="str"/>
      <x:c r="K13" s="36" t="str">
        <x:v>RUN-0015</x:v>
      </x:c>
    </x:row>
    <x:row r="14">
      <x:c r="A14" s="36"/>
      <x:c r="B14" s="36"/>
      <x:c r="C14" s="36"/>
      <x:c r="D14" s="36"/>
      <x:c r="E14" s="36"/>
      <x:c r="F14" s="36"/>
      <x:c r="G14" s="36"/>
      <x:c r="H14" s="36"/>
      <x:c r="I14" s="36"/>
      <x:c r="J14" s="36"/>
      <x:c r="K14" s="36"/>
    </x:row>
    <x:row r="15">
      <x:c r="A15" s="36"/>
      <x:c r="B15" s="36"/>
      <x:c r="C15" s="36"/>
      <x:c r="D15" s="36"/>
      <x:c r="E15" s="36"/>
      <x:c r="F15" s="36"/>
      <x:c r="G15" s="36"/>
      <x:c r="H15" s="36"/>
      <x:c r="I15" s="36"/>
      <x:c r="J15" s="36"/>
      <x:c r="K15" s="36"/>
    </x:row>
    <x:row r="16">
      <x:c r="A16" s="36"/>
      <x:c r="B16" s="36"/>
      <x:c r="C16" s="36"/>
      <x:c r="D16" s="36"/>
      <x:c r="E16" s="36"/>
      <x:c r="F16" s="36"/>
      <x:c r="G16" s="36"/>
      <x:c r="H16" s="36"/>
      <x:c r="I16" s="36"/>
      <x:c r="J16" s="36"/>
      <x:c r="K16" s="36"/>
    </x:row>
    <x:row r="17">
      <x:c r="A17" s="36"/>
      <x:c r="B17" s="36"/>
      <x:c r="C17" s="36"/>
      <x:c r="D17" s="36"/>
      <x:c r="E17" s="36"/>
      <x:c r="F17" s="36"/>
      <x:c r="G17" s="36"/>
      <x:c r="H17" s="36"/>
      <x:c r="I17" s="36"/>
      <x:c r="J17" s="36"/>
      <x:c r="K17" s="36"/>
    </x:row>
    <x:row r="18">
      <x:c r="A18" s="36"/>
      <x:c r="B18" s="36"/>
      <x:c r="C18" s="36"/>
      <x:c r="D18" s="36"/>
      <x:c r="E18" s="36"/>
      <x:c r="F18" s="36"/>
      <x:c r="G18" s="36"/>
      <x:c r="H18" s="36"/>
      <x:c r="I18" s="36"/>
      <x:c r="J18" s="36"/>
      <x:c r="K18" s="36"/>
    </x:row>
    <x:row r="19">
      <x:c r="A19" s="36"/>
      <x:c r="B19" s="36"/>
      <x:c r="C19" s="36"/>
      <x:c r="D19" s="36"/>
      <x:c r="E19" s="36"/>
      <x:c r="F19" s="36"/>
      <x:c r="G19" s="36"/>
      <x:c r="H19" s="36"/>
      <x:c r="I19" s="36"/>
      <x:c r="J19" s="36"/>
      <x:c r="K19" s="36"/>
    </x:row>
    <x:row r="20">
      <x:c r="A20" s="36"/>
      <x:c r="B20" s="36"/>
      <x:c r="C20" s="36"/>
      <x:c r="D20" s="36"/>
      <x:c r="E20" s="36"/>
      <x:c r="F20" s="36"/>
      <x:c r="G20" s="36"/>
      <x:c r="H20" s="36"/>
      <x:c r="I20" s="36"/>
      <x:c r="J20" s="36"/>
      <x:c r="K20" s="36"/>
    </x:row>
    <x:row r="21">
      <x:c r="A21" s="36"/>
      <x:c r="B21" s="36"/>
      <x:c r="C21" s="36"/>
      <x:c r="D21" s="36"/>
      <x:c r="E21" s="36"/>
      <x:c r="F21" s="36"/>
      <x:c r="G21" s="36"/>
      <x:c r="H21" s="36"/>
      <x:c r="I21" s="36"/>
      <x:c r="J21" s="36"/>
      <x:c r="K21" s="36"/>
    </x:row>
    <x:row r="22">
      <x:c r="A22" s="36"/>
      <x:c r="B22" s="36"/>
      <x:c r="C22" s="36"/>
      <x:c r="D22" s="36"/>
      <x:c r="E22" s="36"/>
      <x:c r="F22" s="36"/>
      <x:c r="G22" s="36"/>
      <x:c r="H22" s="36"/>
      <x:c r="I22" s="36"/>
      <x:c r="J22" s="36"/>
      <x:c r="K22" s="36"/>
    </x:row>
    <x:row r="23">
      <x:c r="A23" s="36"/>
      <x:c r="B23" s="36"/>
      <x:c r="C23" s="36"/>
      <x:c r="D23" s="36"/>
      <x:c r="E23" s="36"/>
      <x:c r="F23" s="36"/>
      <x:c r="G23" s="36"/>
      <x:c r="H23" s="36"/>
      <x:c r="I23" s="36"/>
      <x:c r="J23" s="36"/>
      <x:c r="K23" s="36"/>
    </x:row>
    <x:row r="24">
      <x:c r="A24" s="36"/>
      <x:c r="B24" s="36"/>
      <x:c r="C24" s="36"/>
      <x:c r="D24" s="36"/>
      <x:c r="E24" s="36"/>
      <x:c r="F24" s="36"/>
      <x:c r="G24" s="36"/>
      <x:c r="H24" s="36"/>
      <x:c r="I24" s="36"/>
      <x:c r="J24" s="36"/>
      <x:c r="K24" s="36"/>
    </x:row>
    <x:row r="25">
      <x:c r="A25" s="36"/>
      <x:c r="B25" s="36"/>
      <x:c r="C25" s="36"/>
      <x:c r="D25" s="36"/>
      <x:c r="E25" s="36"/>
      <x:c r="F25" s="36"/>
      <x:c r="G25" s="36"/>
      <x:c r="H25" s="36"/>
      <x:c r="I25" s="36"/>
      <x:c r="J25" s="36"/>
      <x:c r="K25" s="36"/>
    </x:row>
    <x:row r="26">
      <x:c r="A26" s="36"/>
      <x:c r="B26" s="36"/>
      <x:c r="C26" s="36"/>
      <x:c r="D26" s="36"/>
      <x:c r="E26" s="36"/>
      <x:c r="F26" s="36"/>
      <x:c r="G26" s="36"/>
      <x:c r="H26" s="36"/>
      <x:c r="I26" s="36"/>
      <x:c r="J26" s="36"/>
      <x:c r="K26" s="36"/>
    </x:row>
    <x:row r="27">
      <x:c r="A27" s="36"/>
      <x:c r="B27" s="36"/>
      <x:c r="C27" s="36"/>
      <x:c r="D27" s="36"/>
      <x:c r="E27" s="36"/>
      <x:c r="F27" s="36"/>
      <x:c r="G27" s="36"/>
      <x:c r="H27" s="36"/>
      <x:c r="I27" s="36"/>
      <x:c r="J27" s="36"/>
      <x:c r="K27" s="36"/>
    </x:row>
    <x:row r="28">
      <x:c r="A28" s="36"/>
      <x:c r="B28" s="36"/>
      <x:c r="C28" s="36"/>
      <x:c r="D28" s="36"/>
      <x:c r="E28" s="36"/>
      <x:c r="F28" s="36"/>
      <x:c r="G28" s="36"/>
      <x:c r="H28" s="36"/>
      <x:c r="I28" s="36"/>
      <x:c r="J28" s="36"/>
      <x:c r="K28" s="36"/>
    </x:row>
    <x:row r="29">
      <x:c r="A29" s="36"/>
      <x:c r="B29" s="36"/>
      <x:c r="C29" s="36"/>
      <x:c r="D29" s="36"/>
      <x:c r="E29" s="36"/>
      <x:c r="F29" s="36"/>
      <x:c r="G29" s="36"/>
      <x:c r="H29" s="36"/>
      <x:c r="I29" s="36"/>
      <x:c r="J29" s="36"/>
      <x:c r="K29" s="36"/>
    </x:row>
    <x:row r="30">
      <x:c r="A30" s="36"/>
      <x:c r="B30" s="36"/>
      <x:c r="C30" s="36"/>
      <x:c r="D30" s="36"/>
      <x:c r="E30" s="36"/>
      <x:c r="F30" s="36"/>
      <x:c r="G30" s="36"/>
      <x:c r="H30" s="36"/>
      <x:c r="I30" s="36"/>
      <x:c r="J30" s="36"/>
      <x:c r="K30" s="36"/>
    </x:row>
    <x:row r="31">
      <x:c r="A31" s="36"/>
      <x:c r="B31" s="36"/>
      <x:c r="C31" s="36"/>
      <x:c r="D31" s="36"/>
      <x:c r="E31" s="36"/>
      <x:c r="F31" s="36"/>
      <x:c r="G31" s="36"/>
      <x:c r="H31" s="36"/>
      <x:c r="I31" s="36"/>
      <x:c r="J31" s="36"/>
      <x:c r="K31" s="36"/>
    </x:row>
    <x:row r="32">
      <x:c r="A32" s="36"/>
      <x:c r="B32" s="36"/>
      <x:c r="C32" s="36"/>
      <x:c r="D32" s="36"/>
      <x:c r="E32" s="36"/>
      <x:c r="F32" s="36"/>
      <x:c r="G32" s="36"/>
      <x:c r="H32" s="36"/>
      <x:c r="I32" s="36"/>
      <x:c r="J32" s="36"/>
      <x:c r="K32" s="36"/>
    </x:row>
    <x:row r="33">
      <x:c r="A33" s="36"/>
      <x:c r="B33" s="36"/>
      <x:c r="C33" s="36"/>
      <x:c r="D33" s="36"/>
      <x:c r="E33" s="36"/>
      <x:c r="F33" s="36"/>
      <x:c r="G33" s="36"/>
      <x:c r="H33" s="36"/>
      <x:c r="I33" s="36"/>
      <x:c r="J33" s="36"/>
      <x:c r="K33" s="36"/>
    </x:row>
    <x:row r="34">
      <x:c r="A34" s="36"/>
      <x:c r="B34" s="36"/>
      <x:c r="C34" s="36"/>
      <x:c r="D34" s="36"/>
      <x:c r="E34" s="36"/>
      <x:c r="F34" s="36"/>
      <x:c r="G34" s="36"/>
      <x:c r="H34" s="36"/>
      <x:c r="I34" s="36"/>
      <x:c r="J34" s="36"/>
      <x:c r="K34" s="36"/>
    </x:row>
    <x:row r="35">
      <x:c r="A35" s="36"/>
      <x:c r="B35" s="36"/>
      <x:c r="C35" s="36"/>
      <x:c r="D35" s="36"/>
      <x:c r="E35" s="36"/>
      <x:c r="F35" s="36"/>
      <x:c r="G35" s="36"/>
      <x:c r="H35" s="36"/>
      <x:c r="I35" s="36"/>
      <x:c r="J35" s="36"/>
      <x:c r="K35" s="36"/>
    </x:row>
    <x:row r="36">
      <x:c r="A36" s="36"/>
      <x:c r="B36" s="36"/>
      <x:c r="C36" s="36"/>
      <x:c r="D36" s="36"/>
      <x:c r="E36" s="36"/>
      <x:c r="F36" s="36"/>
      <x:c r="G36" s="36"/>
      <x:c r="H36" s="36"/>
      <x:c r="I36" s="36"/>
      <x:c r="J36" s="36"/>
      <x:c r="K36" s="36"/>
    </x:row>
    <x:row r="37">
      <x:c r="A37" s="36"/>
      <x:c r="B37" s="36"/>
      <x:c r="C37" s="36"/>
      <x:c r="D37" s="36"/>
      <x:c r="E37" s="36"/>
      <x:c r="F37" s="36"/>
      <x:c r="G37" s="36"/>
      <x:c r="H37" s="36"/>
      <x:c r="I37" s="36"/>
      <x:c r="J37" s="36"/>
      <x:c r="K37" s="36"/>
    </x:row>
    <x:row r="38">
      <x:c r="A38" s="36"/>
      <x:c r="B38" s="36"/>
      <x:c r="C38" s="36"/>
      <x:c r="D38" s="36"/>
      <x:c r="E38" s="36"/>
      <x:c r="F38" s="36"/>
      <x:c r="G38" s="36"/>
      <x:c r="H38" s="36"/>
      <x:c r="I38" s="36"/>
      <x:c r="J38" s="36"/>
      <x:c r="K38" s="36"/>
    </x:row>
    <x:row r="39">
      <x:c r="A39" s="36"/>
      <x:c r="B39" s="36"/>
      <x:c r="C39" s="36"/>
      <x:c r="D39" s="36"/>
      <x:c r="E39" s="36"/>
      <x:c r="F39" s="36"/>
      <x:c r="G39" s="36"/>
      <x:c r="H39" s="36"/>
      <x:c r="I39" s="36"/>
      <x:c r="J39" s="36"/>
      <x:c r="K39" s="36"/>
    </x:row>
    <x:row r="40">
      <x:c r="A40" s="36"/>
      <x:c r="B40" s="36"/>
      <x:c r="C40" s="36"/>
      <x:c r="D40" s="36"/>
      <x:c r="E40" s="36"/>
      <x:c r="F40" s="36"/>
      <x:c r="G40" s="36"/>
      <x:c r="H40" s="36"/>
      <x:c r="I40" s="36"/>
      <x:c r="J40" s="36"/>
      <x:c r="K40" s="36"/>
    </x:row>
    <x:row r="41">
      <x:c r="A41" s="36"/>
      <x:c r="B41" s="36"/>
      <x:c r="C41" s="36"/>
      <x:c r="D41" s="36"/>
      <x:c r="E41" s="36"/>
      <x:c r="F41" s="36"/>
      <x:c r="G41" s="36"/>
      <x:c r="H41" s="36"/>
      <x:c r="I41" s="36"/>
      <x:c r="J41" s="36"/>
      <x:c r="K41" s="36"/>
    </x:row>
    <x:row r="42">
      <x:c r="A42" s="36"/>
      <x:c r="B42" s="36"/>
      <x:c r="C42" s="36"/>
      <x:c r="D42" s="36"/>
      <x:c r="E42" s="36"/>
      <x:c r="F42" s="36"/>
      <x:c r="G42" s="36"/>
      <x:c r="H42" s="36"/>
      <x:c r="I42" s="36"/>
      <x:c r="J42" s="36"/>
      <x:c r="K42" s="36"/>
    </x:row>
    <x:row r="43">
      <x:c r="A43" s="36"/>
      <x:c r="B43" s="36"/>
      <x:c r="C43" s="36"/>
      <x:c r="D43" s="36"/>
      <x:c r="E43" s="36"/>
      <x:c r="F43" s="36"/>
      <x:c r="G43" s="36"/>
      <x:c r="H43" s="36"/>
      <x:c r="I43" s="36"/>
      <x:c r="J43" s="36"/>
      <x:c r="K43" s="36"/>
    </x:row>
    <x:row r="44">
      <x:c r="A44" s="36"/>
      <x:c r="B44" s="36"/>
      <x:c r="C44" s="36"/>
      <x:c r="D44" s="36"/>
      <x:c r="E44" s="36"/>
      <x:c r="F44" s="36"/>
      <x:c r="G44" s="36"/>
      <x:c r="H44" s="36"/>
      <x:c r="I44" s="36"/>
      <x:c r="J44" s="36"/>
      <x:c r="K44" s="36"/>
    </x:row>
    <x:row r="45">
      <x:c r="A45" s="36"/>
      <x:c r="B45" s="36"/>
      <x:c r="C45" s="36"/>
      <x:c r="D45" s="36"/>
      <x:c r="E45" s="36"/>
      <x:c r="F45" s="36"/>
      <x:c r="G45" s="36"/>
      <x:c r="H45" s="36"/>
      <x:c r="I45" s="36"/>
      <x:c r="J45" s="36"/>
      <x:c r="K45" s="36"/>
    </x:row>
    <x:row r="46">
      <x:c r="A46" s="36"/>
      <x:c r="B46" s="36"/>
      <x:c r="C46" s="36"/>
      <x:c r="D46" s="36"/>
      <x:c r="E46" s="36"/>
      <x:c r="F46" s="36"/>
      <x:c r="G46" s="36"/>
      <x:c r="H46" s="36"/>
      <x:c r="I46" s="36"/>
      <x:c r="J46" s="36"/>
      <x:c r="K46" s="36"/>
    </x:row>
    <x:row r="47">
      <x:c r="A47" s="36"/>
      <x:c r="B47" s="36"/>
      <x:c r="C47" s="36"/>
      <x:c r="D47" s="36"/>
      <x:c r="E47" s="36"/>
      <x:c r="F47" s="36"/>
      <x:c r="G47" s="36"/>
      <x:c r="H47" s="36"/>
      <x:c r="I47" s="36"/>
      <x:c r="J47" s="36"/>
      <x:c r="K47" s="36"/>
    </x:row>
    <x:row r="48">
      <x:c r="A48" s="36"/>
      <x:c r="B48" s="36"/>
      <x:c r="C48" s="36"/>
      <x:c r="D48" s="36"/>
      <x:c r="E48" s="36"/>
      <x:c r="F48" s="36"/>
      <x:c r="G48" s="36"/>
      <x:c r="H48" s="36"/>
      <x:c r="I48" s="36"/>
      <x:c r="J48" s="36"/>
      <x:c r="K48" s="36"/>
    </x:row>
    <x:row r="49">
      <x:c r="A49" s="36"/>
      <x:c r="B49" s="36"/>
      <x:c r="C49" s="36"/>
      <x:c r="D49" s="36"/>
      <x:c r="E49" s="36"/>
      <x:c r="F49" s="36"/>
      <x:c r="G49" s="36"/>
      <x:c r="H49" s="36"/>
      <x:c r="I49" s="36"/>
      <x:c r="J49" s="36"/>
      <x:c r="K49" s="36"/>
    </x:row>
    <x:row r="50">
      <x:c r="A50" s="36"/>
      <x:c r="B50" s="36"/>
      <x:c r="C50" s="36"/>
      <x:c r="D50" s="36"/>
      <x:c r="E50" s="36"/>
      <x:c r="F50" s="36"/>
      <x:c r="G50" s="36"/>
      <x:c r="H50" s="36"/>
      <x:c r="I50" s="36"/>
      <x:c r="J50" s="36"/>
      <x:c r="K50" s="36"/>
    </x:row>
    <x:row r="51">
      <x:c r="A51" s="36"/>
      <x:c r="B51" s="36"/>
      <x:c r="C51" s="36"/>
      <x:c r="D51" s="36"/>
      <x:c r="E51" s="36"/>
      <x:c r="F51" s="36"/>
      <x:c r="G51" s="36"/>
      <x:c r="H51" s="36"/>
      <x:c r="I51" s="36"/>
      <x:c r="J51" s="36"/>
      <x:c r="K51" s="36"/>
    </x:row>
    <x:row r="52">
      <x:c r="A52" s="36"/>
      <x:c r="B52" s="36"/>
      <x:c r="C52" s="36"/>
      <x:c r="D52" s="36"/>
      <x:c r="E52" s="36"/>
      <x:c r="F52" s="36"/>
      <x:c r="G52" s="36"/>
      <x:c r="H52" s="36"/>
      <x:c r="I52" s="36"/>
      <x:c r="J52" s="36"/>
      <x:c r="K52" s="36"/>
    </x:row>
    <x:row r="53">
      <x:c r="A53" s="36"/>
      <x:c r="B53" s="36"/>
      <x:c r="C53" s="36"/>
      <x:c r="D53" s="36"/>
      <x:c r="E53" s="36"/>
      <x:c r="F53" s="36"/>
      <x:c r="G53" s="36"/>
      <x:c r="H53" s="36"/>
      <x:c r="I53" s="36"/>
      <x:c r="J53" s="36"/>
      <x:c r="K53" s="36"/>
    </x:row>
    <x:row r="54">
      <x:c r="A54" s="36"/>
      <x:c r="B54" s="36"/>
      <x:c r="C54" s="36"/>
      <x:c r="D54" s="36"/>
      <x:c r="E54" s="36"/>
      <x:c r="F54" s="36"/>
      <x:c r="G54" s="36"/>
      <x:c r="H54" s="36"/>
      <x:c r="I54" s="36"/>
      <x:c r="J54" s="36"/>
      <x:c r="K54" s="36"/>
    </x:row>
    <x:row r="55">
      <x:c r="A55" s="36"/>
      <x:c r="B55" s="36"/>
      <x:c r="C55" s="36"/>
      <x:c r="D55" s="36"/>
      <x:c r="E55" s="36"/>
      <x:c r="F55" s="36"/>
      <x:c r="G55" s="36"/>
      <x:c r="H55" s="36"/>
      <x:c r="I55" s="36"/>
      <x:c r="J55" s="36"/>
      <x:c r="K55" s="36"/>
    </x:row>
    <x:row r="56">
      <x:c r="A56" s="36"/>
      <x:c r="B56" s="36"/>
      <x:c r="C56" s="36"/>
      <x:c r="D56" s="36"/>
      <x:c r="E56" s="36"/>
      <x:c r="F56" s="36"/>
      <x:c r="G56" s="36"/>
      <x:c r="H56" s="36"/>
      <x:c r="I56" s="36"/>
      <x:c r="J56" s="36"/>
      <x:c r="K56" s="36"/>
    </x:row>
    <x:row r="57">
      <x:c r="A57" s="36"/>
      <x:c r="B57" s="36"/>
      <x:c r="C57" s="36"/>
      <x:c r="D57" s="36"/>
      <x:c r="E57" s="36"/>
      <x:c r="F57" s="36"/>
      <x:c r="G57" s="36"/>
      <x:c r="H57" s="36"/>
      <x:c r="I57" s="36"/>
      <x:c r="J57" s="36"/>
      <x:c r="K57" s="36"/>
    </x:row>
    <x:row r="58">
      <x:c r="A58" s="36"/>
      <x:c r="B58" s="36"/>
      <x:c r="C58" s="36"/>
      <x:c r="D58" s="36"/>
      <x:c r="E58" s="36"/>
      <x:c r="F58" s="36"/>
      <x:c r="G58" s="36"/>
      <x:c r="H58" s="36"/>
      <x:c r="I58" s="36"/>
      <x:c r="J58" s="36"/>
      <x:c r="K58" s="36"/>
    </x:row>
    <x:row r="59">
      <x:c r="A59" s="36"/>
      <x:c r="B59" s="36"/>
      <x:c r="C59" s="36"/>
      <x:c r="D59" s="36"/>
      <x:c r="E59" s="36"/>
      <x:c r="F59" s="36"/>
      <x:c r="G59" s="36"/>
      <x:c r="H59" s="36"/>
      <x:c r="I59" s="36"/>
      <x:c r="J59" s="36"/>
      <x:c r="K59" s="36"/>
    </x:row>
    <x:row r="60">
      <x:c r="A60" s="36"/>
      <x:c r="B60" s="36"/>
      <x:c r="C60" s="36"/>
      <x:c r="D60" s="36"/>
      <x:c r="E60" s="36"/>
      <x:c r="F60" s="36"/>
      <x:c r="G60" s="36"/>
      <x:c r="H60" s="36"/>
      <x:c r="I60" s="36"/>
      <x:c r="J60" s="36"/>
      <x:c r="K60" s="36"/>
    </x:row>
    <x:row r="61">
      <x:c r="A61" s="36"/>
      <x:c r="B61" s="36"/>
      <x:c r="C61" s="36"/>
      <x:c r="D61" s="36"/>
      <x:c r="E61" s="36"/>
      <x:c r="F61" s="36"/>
      <x:c r="G61" s="36"/>
      <x:c r="H61" s="36"/>
      <x:c r="I61" s="36"/>
      <x:c r="J61" s="36"/>
      <x:c r="K61" s="36"/>
    </x:row>
    <x:row r="62">
      <x:c r="A62" s="36"/>
      <x:c r="B62" s="36"/>
      <x:c r="C62" s="36"/>
      <x:c r="D62" s="36"/>
      <x:c r="E62" s="36"/>
      <x:c r="F62" s="36"/>
      <x:c r="G62" s="36"/>
      <x:c r="H62" s="36"/>
      <x:c r="I62" s="36"/>
      <x:c r="J62" s="36"/>
      <x:c r="K62" s="36"/>
    </x:row>
    <x:row r="63">
      <x:c r="A63" s="36"/>
      <x:c r="B63" s="36"/>
      <x:c r="C63" s="36"/>
      <x:c r="D63" s="36"/>
      <x:c r="E63" s="36"/>
      <x:c r="F63" s="36"/>
      <x:c r="G63" s="36"/>
      <x:c r="H63" s="36"/>
      <x:c r="I63" s="36"/>
      <x:c r="J63" s="36"/>
      <x:c r="K63" s="36"/>
    </x:row>
    <x:row r="64">
      <x:c r="A64" s="36"/>
      <x:c r="B64" s="36"/>
      <x:c r="C64" s="36"/>
      <x:c r="D64" s="36"/>
      <x:c r="E64" s="36"/>
      <x:c r="F64" s="36"/>
      <x:c r="G64" s="36"/>
      <x:c r="H64" s="36"/>
      <x:c r="I64" s="36"/>
      <x:c r="J64" s="36"/>
      <x:c r="K64" s="36"/>
    </x:row>
    <x:row r="65">
      <x:c r="A65" s="36"/>
      <x:c r="B65" s="36"/>
      <x:c r="C65" s="36"/>
      <x:c r="D65" s="36"/>
      <x:c r="E65" s="36"/>
      <x:c r="F65" s="36"/>
      <x:c r="G65" s="36"/>
      <x:c r="H65" s="36"/>
      <x:c r="I65" s="36"/>
      <x:c r="J65" s="36"/>
      <x:c r="K65" s="36"/>
    </x:row>
    <x:row r="66">
      <x:c r="A66" s="36"/>
      <x:c r="B66" s="36"/>
      <x:c r="C66" s="36"/>
      <x:c r="D66" s="36"/>
      <x:c r="E66" s="36"/>
      <x:c r="F66" s="36"/>
      <x:c r="G66" s="36"/>
      <x:c r="H66" s="36"/>
      <x:c r="I66" s="36"/>
      <x:c r="J66" s="36"/>
      <x:c r="K66" s="36"/>
    </x:row>
    <x:row r="67">
      <x:c r="A67" s="36"/>
      <x:c r="B67" s="36"/>
      <x:c r="C67" s="36"/>
      <x:c r="D67" s="36"/>
      <x:c r="E67" s="36"/>
      <x:c r="F67" s="36"/>
      <x:c r="G67" s="36"/>
      <x:c r="H67" s="36"/>
      <x:c r="I67" s="36"/>
      <x:c r="J67" s="36"/>
      <x:c r="K67" s="36"/>
    </x:row>
    <x:row r="68">
      <x:c r="A68" s="36"/>
      <x:c r="B68" s="36"/>
      <x:c r="C68" s="36"/>
      <x:c r="D68" s="36"/>
      <x:c r="E68" s="36"/>
      <x:c r="F68" s="36"/>
      <x:c r="G68" s="36"/>
      <x:c r="H68" s="36"/>
      <x:c r="I68" s="36"/>
      <x:c r="J68" s="36"/>
      <x:c r="K68" s="36"/>
    </x:row>
    <x:row r="69">
      <x:c r="A69" s="36"/>
      <x:c r="B69" s="36"/>
      <x:c r="C69" s="36"/>
      <x:c r="D69" s="36"/>
      <x:c r="E69" s="36"/>
      <x:c r="F69" s="36"/>
      <x:c r="G69" s="36"/>
      <x:c r="H69" s="36"/>
      <x:c r="I69" s="36"/>
      <x:c r="J69" s="36"/>
      <x:c r="K69" s="36"/>
    </x:row>
    <x:row r="70">
      <x:c r="A70" s="36"/>
      <x:c r="B70" s="36"/>
      <x:c r="C70" s="36"/>
      <x:c r="D70" s="36"/>
      <x:c r="E70" s="36"/>
      <x:c r="F70" s="36"/>
      <x:c r="G70" s="36"/>
      <x:c r="H70" s="36"/>
      <x:c r="I70" s="36"/>
      <x:c r="J70" s="36"/>
      <x:c r="K70" s="36"/>
    </x:row>
    <x:row r="71">
      <x:c r="A71" s="36"/>
      <x:c r="B71" s="36"/>
      <x:c r="C71" s="36"/>
      <x:c r="D71" s="36"/>
      <x:c r="E71" s="36"/>
      <x:c r="F71" s="36"/>
      <x:c r="G71" s="36"/>
      <x:c r="H71" s="36"/>
      <x:c r="I71" s="36"/>
      <x:c r="J71" s="36"/>
      <x:c r="K71" s="36"/>
    </x:row>
    <x:row r="72">
      <x:c r="A72" s="36"/>
      <x:c r="B72" s="36"/>
      <x:c r="C72" s="36"/>
      <x:c r="D72" s="36"/>
      <x:c r="E72" s="36"/>
      <x:c r="F72" s="36"/>
      <x:c r="G72" s="36"/>
      <x:c r="H72" s="36"/>
      <x:c r="I72" s="36"/>
      <x:c r="J72" s="36"/>
      <x:c r="K72" s="36"/>
    </x:row>
    <x:row r="73">
      <x:c r="A73" s="36"/>
      <x:c r="B73" s="36"/>
      <x:c r="C73" s="36"/>
      <x:c r="D73" s="36"/>
      <x:c r="E73" s="36"/>
      <x:c r="F73" s="36"/>
      <x:c r="G73" s="36"/>
      <x:c r="H73" s="36"/>
      <x:c r="I73" s="36"/>
      <x:c r="J73" s="36"/>
      <x:c r="K73" s="36"/>
    </x:row>
    <x:row r="74">
      <x:c r="A74" s="36"/>
      <x:c r="B74" s="36"/>
      <x:c r="C74" s="36"/>
      <x:c r="D74" s="36"/>
      <x:c r="E74" s="36"/>
      <x:c r="F74" s="36"/>
      <x:c r="G74" s="36"/>
      <x:c r="H74" s="36"/>
      <x:c r="I74" s="36"/>
      <x:c r="J74" s="36"/>
      <x:c r="K74" s="36"/>
    </x:row>
    <x:row r="75">
      <x:c r="A75" s="36"/>
      <x:c r="B75" s="36"/>
      <x:c r="C75" s="36"/>
      <x:c r="D75" s="36"/>
      <x:c r="E75" s="36"/>
      <x:c r="F75" s="36"/>
      <x:c r="G75" s="36"/>
      <x:c r="H75" s="36"/>
      <x:c r="I75" s="36"/>
      <x:c r="J75" s="36"/>
      <x:c r="K75" s="36"/>
    </x:row>
    <x:row r="76">
      <x:c r="A76" s="36"/>
      <x:c r="B76" s="36"/>
      <x:c r="C76" s="36"/>
      <x:c r="D76" s="36"/>
      <x:c r="E76" s="36"/>
      <x:c r="F76" s="36"/>
      <x:c r="G76" s="36"/>
      <x:c r="H76" s="36"/>
      <x:c r="I76" s="36"/>
      <x:c r="J76" s="36"/>
      <x:c r="K76" s="36"/>
    </x:row>
    <x:row r="77">
      <x:c r="A77" s="36"/>
      <x:c r="B77" s="36"/>
      <x:c r="C77" s="36"/>
      <x:c r="D77" s="36"/>
      <x:c r="E77" s="36"/>
      <x:c r="F77" s="36"/>
      <x:c r="G77" s="36"/>
      <x:c r="H77" s="36"/>
      <x:c r="I77" s="36"/>
      <x:c r="J77" s="36"/>
      <x:c r="K77" s="36"/>
    </x:row>
    <x:row r="78">
      <x:c r="A78" s="36"/>
      <x:c r="B78" s="36"/>
      <x:c r="C78" s="36"/>
      <x:c r="D78" s="36"/>
      <x:c r="E78" s="36"/>
      <x:c r="F78" s="36"/>
      <x:c r="G78" s="36"/>
      <x:c r="H78" s="36"/>
      <x:c r="I78" s="36"/>
      <x:c r="J78" s="36"/>
      <x:c r="K78" s="36"/>
    </x:row>
    <x:row r="79">
      <x:c r="A79" s="36"/>
      <x:c r="B79" s="36"/>
      <x:c r="C79" s="36"/>
      <x:c r="D79" s="36"/>
      <x:c r="E79" s="36"/>
      <x:c r="F79" s="36"/>
      <x:c r="G79" s="36"/>
      <x:c r="H79" s="36"/>
      <x:c r="I79" s="36"/>
      <x:c r="J79" s="36"/>
      <x:c r="K79" s="36"/>
    </x:row>
    <x:row r="80">
      <x:c r="A80" s="36"/>
      <x:c r="B80" s="36"/>
      <x:c r="C80" s="36"/>
      <x:c r="D80" s="36"/>
      <x:c r="E80" s="36"/>
      <x:c r="F80" s="36"/>
      <x:c r="G80" s="36"/>
      <x:c r="H80" s="36"/>
      <x:c r="I80" s="36"/>
      <x:c r="J80" s="36"/>
      <x:c r="K80" s="36"/>
    </x:row>
    <x:row r="81">
      <x:c r="A81" s="36"/>
      <x:c r="B81" s="36"/>
      <x:c r="C81" s="36"/>
      <x:c r="D81" s="36"/>
      <x:c r="E81" s="36"/>
      <x:c r="F81" s="36"/>
      <x:c r="G81" s="36"/>
      <x:c r="H81" s="36"/>
      <x:c r="I81" s="36"/>
      <x:c r="J81" s="36"/>
      <x:c r="K81" s="36"/>
    </x:row>
    <x:row r="82">
      <x:c r="A82" s="36"/>
      <x:c r="B82" s="36"/>
      <x:c r="C82" s="36"/>
      <x:c r="D82" s="36"/>
      <x:c r="E82" s="36"/>
      <x:c r="F82" s="36"/>
      <x:c r="G82" s="36"/>
      <x:c r="H82" s="36"/>
      <x:c r="I82" s="36"/>
      <x:c r="J82" s="36"/>
      <x:c r="K82" s="36"/>
    </x:row>
    <x:row r="83">
      <x:c r="A83" s="36"/>
      <x:c r="B83" s="36"/>
      <x:c r="C83" s="36"/>
      <x:c r="D83" s="36"/>
      <x:c r="E83" s="36"/>
      <x:c r="F83" s="36"/>
      <x:c r="G83" s="36"/>
      <x:c r="H83" s="36"/>
      <x:c r="I83" s="36"/>
      <x:c r="J83" s="36"/>
      <x:c r="K83" s="36"/>
    </x:row>
    <x:row r="84">
      <x:c r="A84" s="36"/>
      <x:c r="B84" s="36"/>
      <x:c r="C84" s="36"/>
      <x:c r="D84" s="36"/>
      <x:c r="E84" s="36"/>
      <x:c r="F84" s="36"/>
      <x:c r="G84" s="36"/>
      <x:c r="H84" s="36"/>
      <x:c r="I84" s="36"/>
      <x:c r="J84" s="36"/>
      <x:c r="K84" s="36"/>
    </x:row>
    <x:row r="85">
      <x:c r="A85" s="36"/>
      <x:c r="B85" s="36"/>
      <x:c r="C85" s="36"/>
      <x:c r="D85" s="36"/>
      <x:c r="E85" s="36"/>
      <x:c r="F85" s="36"/>
      <x:c r="G85" s="36"/>
      <x:c r="H85" s="36"/>
      <x:c r="I85" s="36"/>
      <x:c r="J85" s="36"/>
      <x:c r="K85" s="36"/>
    </x:row>
    <x:row r="86">
      <x:c r="A86" s="36"/>
      <x:c r="B86" s="36"/>
      <x:c r="C86" s="36"/>
      <x:c r="D86" s="36"/>
      <x:c r="E86" s="36"/>
      <x:c r="F86" s="36"/>
      <x:c r="G86" s="36"/>
      <x:c r="H86" s="36"/>
      <x:c r="I86" s="36"/>
      <x:c r="J86" s="36"/>
      <x:c r="K86" s="36"/>
    </x:row>
    <x:row r="87">
      <x:c r="A87" s="36"/>
      <x:c r="B87" s="36"/>
      <x:c r="C87" s="36"/>
      <x:c r="D87" s="36"/>
      <x:c r="E87" s="36"/>
      <x:c r="F87" s="36"/>
      <x:c r="G87" s="36"/>
      <x:c r="H87" s="36"/>
      <x:c r="I87" s="36"/>
      <x:c r="J87" s="36"/>
      <x:c r="K87" s="36"/>
    </x:row>
    <x:row r="88">
      <x:c r="A88" s="36"/>
      <x:c r="B88" s="36"/>
      <x:c r="C88" s="36"/>
      <x:c r="D88" s="36"/>
      <x:c r="E88" s="36"/>
      <x:c r="F88" s="36"/>
      <x:c r="G88" s="36"/>
      <x:c r="H88" s="36"/>
      <x:c r="I88" s="36"/>
      <x:c r="J88" s="36"/>
      <x:c r="K88" s="36"/>
    </x:row>
    <x:row r="89">
      <x:c r="A89" s="36"/>
      <x:c r="B89" s="36"/>
      <x:c r="C89" s="36"/>
      <x:c r="D89" s="36"/>
      <x:c r="E89" s="36"/>
      <x:c r="F89" s="36"/>
      <x:c r="G89" s="36"/>
      <x:c r="H89" s="36"/>
      <x:c r="I89" s="36"/>
      <x:c r="J89" s="36"/>
      <x:c r="K89" s="36"/>
    </x:row>
    <x:row r="90">
      <x:c r="A90" s="36"/>
      <x:c r="B90" s="36"/>
      <x:c r="C90" s="36"/>
      <x:c r="D90" s="36"/>
      <x:c r="E90" s="36"/>
      <x:c r="F90" s="36"/>
      <x:c r="G90" s="36"/>
      <x:c r="H90" s="36"/>
      <x:c r="I90" s="36"/>
      <x:c r="J90" s="36"/>
      <x:c r="K90" s="36"/>
    </x:row>
    <x:row r="91">
      <x:c r="A91" s="36"/>
      <x:c r="B91" s="36"/>
      <x:c r="C91" s="36"/>
      <x:c r="D91" s="36"/>
      <x:c r="E91" s="36"/>
      <x:c r="F91" s="36"/>
      <x:c r="G91" s="36"/>
      <x:c r="H91" s="36"/>
      <x:c r="I91" s="36"/>
      <x:c r="J91" s="36"/>
      <x:c r="K91" s="36"/>
    </x:row>
    <x:row r="92">
      <x:c r="A92" s="36"/>
      <x:c r="B92" s="36"/>
      <x:c r="C92" s="36"/>
      <x:c r="D92" s="36"/>
      <x:c r="E92" s="36"/>
      <x:c r="F92" s="36"/>
      <x:c r="G92" s="36"/>
      <x:c r="H92" s="36"/>
      <x:c r="I92" s="36"/>
      <x:c r="J92" s="36"/>
      <x:c r="K92" s="36"/>
    </x:row>
    <x:row r="93">
      <x:c r="A93" s="36"/>
      <x:c r="B93" s="36"/>
      <x:c r="C93" s="36"/>
      <x:c r="D93" s="36"/>
      <x:c r="E93" s="36"/>
      <x:c r="F93" s="36"/>
      <x:c r="G93" s="36"/>
      <x:c r="H93" s="36"/>
      <x:c r="I93" s="36"/>
      <x:c r="J93" s="36"/>
      <x:c r="K93" s="36"/>
    </x:row>
    <x:row r="94">
      <x:c r="A94" s="36"/>
      <x:c r="B94" s="36"/>
      <x:c r="C94" s="36"/>
      <x:c r="D94" s="36"/>
      <x:c r="E94" s="36"/>
      <x:c r="F94" s="36"/>
      <x:c r="G94" s="36"/>
      <x:c r="H94" s="36"/>
      <x:c r="I94" s="36"/>
      <x:c r="J94" s="36"/>
      <x:c r="K94" s="36"/>
    </x:row>
    <x:row r="95">
      <x:c r="A95" s="36"/>
      <x:c r="B95" s="36"/>
      <x:c r="C95" s="36"/>
      <x:c r="D95" s="36"/>
      <x:c r="E95" s="36"/>
      <x:c r="F95" s="36"/>
      <x:c r="G95" s="36"/>
      <x:c r="H95" s="36"/>
      <x:c r="I95" s="36"/>
      <x:c r="J95" s="36"/>
      <x:c r="K95" s="36"/>
    </x:row>
    <x:row r="96">
      <x:c r="A96" s="36"/>
      <x:c r="B96" s="36"/>
      <x:c r="C96" s="36"/>
      <x:c r="D96" s="36"/>
      <x:c r="E96" s="36"/>
      <x:c r="F96" s="36"/>
      <x:c r="G96" s="36"/>
      <x:c r="H96" s="36"/>
      <x:c r="I96" s="36"/>
      <x:c r="J96" s="36"/>
      <x:c r="K96" s="36"/>
    </x:row>
    <x:row r="97">
      <x:c r="A97" s="36"/>
      <x:c r="B97" s="36"/>
      <x:c r="C97" s="36"/>
      <x:c r="D97" s="36"/>
      <x:c r="E97" s="36"/>
      <x:c r="F97" s="36"/>
      <x:c r="G97" s="36"/>
      <x:c r="H97" s="36"/>
      <x:c r="I97" s="36"/>
      <x:c r="J97" s="36"/>
      <x:c r="K97" s="36"/>
    </x:row>
    <x:row r="98">
      <x:c r="A98" s="36"/>
      <x:c r="B98" s="36"/>
      <x:c r="C98" s="36"/>
      <x:c r="D98" s="36"/>
      <x:c r="E98" s="36"/>
      <x:c r="F98" s="36"/>
      <x:c r="G98" s="36"/>
      <x:c r="H98" s="36"/>
      <x:c r="I98" s="36"/>
      <x:c r="J98" s="36"/>
      <x:c r="K98" s="36"/>
    </x:row>
    <x:row r="99">
      <x:c r="A99" s="36"/>
      <x:c r="B99" s="36"/>
      <x:c r="C99" s="36"/>
      <x:c r="D99" s="36"/>
      <x:c r="E99" s="36"/>
      <x:c r="F99" s="36"/>
      <x:c r="G99" s="36"/>
      <x:c r="H99" s="36"/>
      <x:c r="I99" s="36"/>
      <x:c r="J99" s="36"/>
      <x:c r="K99" s="36"/>
    </x:row>
    <x:row r="100">
      <x:c r="A100" s="36"/>
      <x:c r="B100" s="36"/>
      <x:c r="C100" s="36"/>
      <x:c r="D100" s="36"/>
      <x:c r="E100" s="36"/>
      <x:c r="F100" s="36"/>
      <x:c r="G100" s="36"/>
      <x:c r="H100" s="36"/>
      <x:c r="I100" s="36"/>
      <x:c r="J100" s="36"/>
      <x:c r="K100" s="36"/>
    </x:row>
  </x:sheetData>
  <x:mergeCells>
    <x:mergeCell ref="A1:K2"/>
  </x:mergeCells>
  <x:conditionalFormatting sqref="I5:I100">
    <x:cfRule type="containsText" dxfId="3" priority="1" operator="containsText" text="未修正"/>
    <x:cfRule type="containsText" dxfId="4" priority="2" operator="containsText" text="合格"/>
  </x:conditionalFormatting>
  <x:dataValidations count="2">
    <x:dataValidation type="list" sqref="C5:C100">
      <x:formula1>"致命的,高,中,低"</x:formula1>
    </x:dataValidation>
    <x:dataValidation type="list" sqref="I5:I100">
      <x:formula1>"未修正,対応中,修正済み,再テスト合格,保留,仕様"</x:formula1>
    </x:dataValidation>
  </x:dataValidations>
  <x:pageMargins left="0.7" right="0.7" top="0.75" bottom="0.75" header="0.3" footer="0.3"/>
  <x:tableParts count="1">
    <x:tablePart xmlns:r="http://schemas.openxmlformats.org/officeDocument/2006/relationships" r:id="R1459a19cecc04fe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2" hidden="0" customWidth="1"/>
    <x:col min="4" max="4" width="18" hidden="0" customWidth="1"/>
  </x:cols>
  <x:sheetData>
    <x:row r="1">
      <x:c r="A1" s="32" t="str">
        <x:v>Guide - 更新ルール</x:v>
      </x:c>
      <x:c r="B1" s="32"/>
      <x:c r="C1" s="32"/>
      <x:c r="D1" s="32"/>
    </x:row>
    <x:row r="2">
      <x:c r="A2" s="32"/>
      <x:c r="B2" s="32"/>
      <x:c r="C2" s="32"/>
      <x:c r="D2" s="32"/>
    </x:row>
    <x:row r="4">
      <x:c r="A4" s="35" t="str">
        <x:v>項目</x:v>
      </x:c>
      <x:c r="B4" s="35" t="str">
        <x:v>値/ルール</x:v>
      </x:c>
      <x:c r="C4" s="35" t="str">
        <x:v>更新タイミング</x:v>
      </x:c>
      <x:c r="D4" s="35" t="str">
        <x:v>責任</x:v>
      </x:c>
    </x:row>
    <x:row r="5">
      <x:c r="A5" s="36" t="str">
        <x:v>正準ファイル</x:v>
      </x:c>
      <x:c r="B5" s="36" t="str">
        <x:v>このExcelのみをステータスの一次情報とする</x:v>
      </x:c>
      <x:c r="C5" s="36" t="str">
        <x:v>常時</x:v>
      </x:c>
      <x:c r="D5" s="36" t="str">
        <x:v>開発担当</x:v>
      </x:c>
    </x:row>
    <x:row r="6">
      <x:c r="A6" s="36" t="str">
        <x:v>Initial Status</x:v>
      </x:c>
      <x:c r="B6" s="36" t="str">
        <x:v>最初の全件テスト結果。上書きせず履歴はTest Runsへ追加</x:v>
      </x:c>
      <x:c r="C6" s="36" t="str">
        <x:v>初回テスト</x:v>
      </x:c>
      <x:c r="D6" s="36" t="str">
        <x:v>テスト担当</x:v>
      </x:c>
    </x:row>
    <x:row r="7">
      <x:c r="A7" s="36" t="str">
        <x:v>Retest Status</x:v>
      </x:c>
      <x:c r="B7" s="36" t="str">
        <x:v>修正後の全件再テスト結果</x:v>
      </x:c>
      <x:c r="C7" s="36" t="str">
        <x:v>再テスト</x:v>
      </x:c>
      <x:c r="D7" s="36" t="str">
        <x:v>テスト担当</x:v>
      </x:c>
    </x:row>
    <x:row r="8">
      <x:c r="A8" s="36" t="str">
        <x:v>Defect ID</x:v>
      </x:c>
      <x:c r="B8" s="36" t="str">
        <x:v>失敗時は必ずDefectsのIDを紐付ける</x:v>
      </x:c>
      <x:c r="C8" s="36" t="str">
        <x:v>不具合発見時</x:v>
      </x:c>
      <x:c r="D8" s="36" t="str">
        <x:v>テスト担当</x:v>
      </x:c>
    </x:row>
    <x:row r="9">
      <x:c r="A9" s="36" t="str">
        <x:v>Evidence</x:v>
      </x:c>
      <x:c r="B9" s="36" t="str">
        <x:v>コマンド、URL、スクリーンショット、ログの場所を記録</x:v>
      </x:c>
      <x:c r="C9" s="36" t="str">
        <x:v>各テスト時</x:v>
      </x:c>
      <x:c r="D9" s="36" t="str">
        <x:v>テスト担当</x:v>
      </x:c>
    </x:row>
    <x:row r="10">
      <x:c r="A10" s="36" t="str">
        <x:v>完了条件</x:v>
      </x:c>
      <x:c r="B10" s="36" t="str">
        <x:v>全Storyの再テストが合格/対象外、未修正Defectが0、レビューGo</x:v>
      </x:c>
      <x:c r="C10" s="36" t="str">
        <x:v>最終監査</x:v>
      </x:c>
      <x:c r="D10" s="36" t="str">
        <x:v>開発担当</x:v>
      </x:c>
    </x:row>
    <x:row r="11">
      <x:c r="A11" s="36" t="str">
        <x:v>現在の基準日</x:v>
      </x:c>
      <x:c r="B11" s="39" t="n">
        <x:v>46197</x:v>
      </x:c>
      <x:c r="C11" s="36" t="str">
        <x:v>棚卸し開始</x:v>
      </x:c>
      <x:c r="D11" s="36" t="str">
        <x:v>Codex</x:v>
      </x:c>
    </x:row>
    <x:row r="12">
      <x:c r="A12" s="36" t="str">
        <x:v>公開URL</x:v>
      </x:c>
      <x:c r="B12" s="36" t="str">
        <x:v>https://kumakitiho.github.io/kyushu-touring-range-planner/</x:v>
      </x:c>
      <x:c r="C12" s="36" t="str">
        <x:v>本番確認時</x:v>
      </x:c>
      <x:c r="D12" s="36" t="str">
        <x:v>運用者</x:v>
      </x:c>
    </x:row>
  </x:sheetData>
  <x:mergeCells>
    <x:mergeCell ref="A1:D2"/>
  </x:mergeCells>
  <x:pageMargins left="0.7" right="0.7" top="0.75" bottom="0.75" header="0.3" footer="0.3"/>
</x:worksheet>
</file>